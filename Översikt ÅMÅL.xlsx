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45812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30444-2019</t>
        </is>
      </c>
      <c r="B3" s="1" t="n">
        <v>43635</v>
      </c>
      <c r="C3" s="1" t="n">
        <v>45812</v>
      </c>
      <c r="D3" t="inlineStr">
        <is>
          <t>VÄSTRA GÖTALANDS LÄN</t>
        </is>
      </c>
      <c r="E3" t="inlineStr">
        <is>
          <t>ÅMÅL</t>
        </is>
      </c>
      <c r="G3" t="n">
        <v>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Slät rutlungmossa
Guldlockmossa
Platt fjädermossa</t>
        </is>
      </c>
      <c r="S3">
        <f>HYPERLINK("https://klasma.github.io/Logging_1492/artfynd/A 30444-2019 artfynd.xlsx", "A 30444-2019")</f>
        <v/>
      </c>
      <c r="T3">
        <f>HYPERLINK("https://klasma.github.io/Logging_1492/kartor/A 30444-2019 karta.png", "A 30444-2019")</f>
        <v/>
      </c>
      <c r="V3">
        <f>HYPERLINK("https://klasma.github.io/Logging_1492/klagomål/A 30444-2019 FSC-klagomål.docx", "A 30444-2019")</f>
        <v/>
      </c>
      <c r="W3">
        <f>HYPERLINK("https://klasma.github.io/Logging_1492/klagomålsmail/A 30444-2019 FSC-klagomål mail.docx", "A 30444-2019")</f>
        <v/>
      </c>
      <c r="X3">
        <f>HYPERLINK("https://klasma.github.io/Logging_1492/tillsyn/A 30444-2019 tillsynsbegäran.docx", "A 30444-2019")</f>
        <v/>
      </c>
      <c r="Y3">
        <f>HYPERLINK("https://klasma.github.io/Logging_1492/tillsynsmail/A 30444-2019 tillsynsbegäran mail.docx", "A 30444-2019")</f>
        <v/>
      </c>
    </row>
    <row r="4" ht="15" customHeight="1">
      <c r="A4" t="inlineStr">
        <is>
          <t>A 49533-2019</t>
        </is>
      </c>
      <c r="B4" s="1" t="n">
        <v>43732</v>
      </c>
      <c r="C4" s="1" t="n">
        <v>45812</v>
      </c>
      <c r="D4" t="inlineStr">
        <is>
          <t>VÄSTRA GÖTALANDS LÄN</t>
        </is>
      </c>
      <c r="E4" t="inlineStr">
        <is>
          <t>ÅMÅL</t>
        </is>
      </c>
      <c r="G4" t="n">
        <v>3.3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Röd skogslilja
Sårläka
Blåsippa</t>
        </is>
      </c>
      <c r="S4">
        <f>HYPERLINK("https://klasma.github.io/Logging_1492/artfynd/A 49533-2019 artfynd.xlsx", "A 49533-2019")</f>
        <v/>
      </c>
      <c r="T4">
        <f>HYPERLINK("https://klasma.github.io/Logging_1492/kartor/A 49533-2019 karta.png", "A 49533-2019")</f>
        <v/>
      </c>
      <c r="V4">
        <f>HYPERLINK("https://klasma.github.io/Logging_1492/klagomål/A 49533-2019 FSC-klagomål.docx", "A 49533-2019")</f>
        <v/>
      </c>
      <c r="W4">
        <f>HYPERLINK("https://klasma.github.io/Logging_1492/klagomålsmail/A 49533-2019 FSC-klagomål mail.docx", "A 49533-2019")</f>
        <v/>
      </c>
      <c r="X4">
        <f>HYPERLINK("https://klasma.github.io/Logging_1492/tillsyn/A 49533-2019 tillsynsbegäran.docx", "A 49533-2019")</f>
        <v/>
      </c>
      <c r="Y4">
        <f>HYPERLINK("https://klasma.github.io/Logging_1492/tillsynsmail/A 49533-2019 tillsynsbegäran mail.docx", "A 49533-2019")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45812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17535-2024</t>
        </is>
      </c>
      <c r="B6" s="1" t="n">
        <v>45415</v>
      </c>
      <c r="C6" s="1" t="n">
        <v>45812</v>
      </c>
      <c r="D6" t="inlineStr">
        <is>
          <t>VÄSTRA GÖTALANDS LÄN</t>
        </is>
      </c>
      <c r="E6" t="inlineStr">
        <is>
          <t>ÅMÅL</t>
        </is>
      </c>
      <c r="G6" t="n">
        <v>2.4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Bergjohannesört
Krusfrö</t>
        </is>
      </c>
      <c r="S6">
        <f>HYPERLINK("https://klasma.github.io/Logging_1492/artfynd/A 17535-2024 artfynd.xlsx", "A 17535-2024")</f>
        <v/>
      </c>
      <c r="T6">
        <f>HYPERLINK("https://klasma.github.io/Logging_1492/kartor/A 17535-2024 karta.png", "A 17535-2024")</f>
        <v/>
      </c>
      <c r="V6">
        <f>HYPERLINK("https://klasma.github.io/Logging_1492/klagomål/A 17535-2024 FSC-klagomål.docx", "A 17535-2024")</f>
        <v/>
      </c>
      <c r="W6">
        <f>HYPERLINK("https://klasma.github.io/Logging_1492/klagomålsmail/A 17535-2024 FSC-klagomål mail.docx", "A 17535-2024")</f>
        <v/>
      </c>
      <c r="X6">
        <f>HYPERLINK("https://klasma.github.io/Logging_1492/tillsyn/A 17535-2024 tillsynsbegäran.docx", "A 17535-2024")</f>
        <v/>
      </c>
      <c r="Y6">
        <f>HYPERLINK("https://klasma.github.io/Logging_1492/tillsynsmail/A 17535-2024 tillsynsbegäran mail.docx", "A 17535-2024")</f>
        <v/>
      </c>
    </row>
    <row r="7" ht="15" customHeight="1">
      <c r="A7" t="inlineStr">
        <is>
          <t>A 31651-2024</t>
        </is>
      </c>
      <c r="B7" s="1" t="n">
        <v>45506</v>
      </c>
      <c r="C7" s="1" t="n">
        <v>45812</v>
      </c>
      <c r="D7" t="inlineStr">
        <is>
          <t>VÄSTRA GÖTALANDS LÄN</t>
        </is>
      </c>
      <c r="E7" t="inlineStr">
        <is>
          <t>ÅMÅL</t>
        </is>
      </c>
      <c r="G7" t="n">
        <v>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Bergjohannesört
Blåsippa</t>
        </is>
      </c>
      <c r="S7">
        <f>HYPERLINK("https://klasma.github.io/Logging_1492/artfynd/A 31651-2024 artfynd.xlsx", "A 31651-2024")</f>
        <v/>
      </c>
      <c r="T7">
        <f>HYPERLINK("https://klasma.github.io/Logging_1492/kartor/A 31651-2024 karta.png", "A 31651-2024")</f>
        <v/>
      </c>
      <c r="V7">
        <f>HYPERLINK("https://klasma.github.io/Logging_1492/klagomål/A 31651-2024 FSC-klagomål.docx", "A 31651-2024")</f>
        <v/>
      </c>
      <c r="W7">
        <f>HYPERLINK("https://klasma.github.io/Logging_1492/klagomålsmail/A 31651-2024 FSC-klagomål mail.docx", "A 31651-2024")</f>
        <v/>
      </c>
      <c r="X7">
        <f>HYPERLINK("https://klasma.github.io/Logging_1492/tillsyn/A 31651-2024 tillsynsbegäran.docx", "A 31651-2024")</f>
        <v/>
      </c>
      <c r="Y7">
        <f>HYPERLINK("https://klasma.github.io/Logging_1492/tillsynsmail/A 31651-2024 tillsynsbegäran mail.docx", "A 31651-2024")</f>
        <v/>
      </c>
    </row>
    <row r="8" ht="15" customHeight="1">
      <c r="A8" t="inlineStr">
        <is>
          <t>A 31652-2024</t>
        </is>
      </c>
      <c r="B8" s="1" t="n">
        <v>45506</v>
      </c>
      <c r="C8" s="1" t="n">
        <v>45812</v>
      </c>
      <c r="D8" t="inlineStr">
        <is>
          <t>VÄSTRA GÖTALANDS LÄN</t>
        </is>
      </c>
      <c r="E8" t="inlineStr">
        <is>
          <t>ÅMÅL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Gulgrön kantmusseron
Svart trolldruva</t>
        </is>
      </c>
      <c r="S8">
        <f>HYPERLINK("https://klasma.github.io/Logging_1492/artfynd/A 31652-2024 artfynd.xlsx", "A 31652-2024")</f>
        <v/>
      </c>
      <c r="T8">
        <f>HYPERLINK("https://klasma.github.io/Logging_1492/kartor/A 31652-2024 karta.png", "A 31652-2024")</f>
        <v/>
      </c>
      <c r="V8">
        <f>HYPERLINK("https://klasma.github.io/Logging_1492/klagomål/A 31652-2024 FSC-klagomål.docx", "A 31652-2024")</f>
        <v/>
      </c>
      <c r="W8">
        <f>HYPERLINK("https://klasma.github.io/Logging_1492/klagomålsmail/A 31652-2024 FSC-klagomål mail.docx", "A 31652-2024")</f>
        <v/>
      </c>
      <c r="X8">
        <f>HYPERLINK("https://klasma.github.io/Logging_1492/tillsyn/A 31652-2024 tillsynsbegäran.docx", "A 31652-2024")</f>
        <v/>
      </c>
      <c r="Y8">
        <f>HYPERLINK("https://klasma.github.io/Logging_1492/tillsynsmail/A 31652-2024 tillsynsbegäran mail.docx", "A 31652-2024")</f>
        <v/>
      </c>
    </row>
    <row r="9" ht="15" customHeight="1">
      <c r="A9" t="inlineStr">
        <is>
          <t>A 32653-2019</t>
        </is>
      </c>
      <c r="B9" s="1" t="n">
        <v>43643</v>
      </c>
      <c r="C9" s="1" t="n">
        <v>45812</v>
      </c>
      <c r="D9" t="inlineStr">
        <is>
          <t>VÄSTRA GÖTALANDS LÄN</t>
        </is>
      </c>
      <c r="E9" t="inlineStr">
        <is>
          <t>ÅMÅL</t>
        </is>
      </c>
      <c r="G9" t="n">
        <v>30.2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HYPERLINK("https://klasma.github.io/Logging_1492/artfynd/A 32653-2019 artfynd.xlsx", "A 32653-2019")</f>
        <v/>
      </c>
      <c r="T9">
        <f>HYPERLINK("https://klasma.github.io/Logging_1492/kartor/A 32653-2019 karta.png", "A 32653-2019")</f>
        <v/>
      </c>
      <c r="V9">
        <f>HYPERLINK("https://klasma.github.io/Logging_1492/klagomål/A 32653-2019 FSC-klagomål.docx", "A 32653-2019")</f>
        <v/>
      </c>
      <c r="W9">
        <f>HYPERLINK("https://klasma.github.io/Logging_1492/klagomålsmail/A 32653-2019 FSC-klagomål mail.docx", "A 32653-2019")</f>
        <v/>
      </c>
      <c r="X9">
        <f>HYPERLINK("https://klasma.github.io/Logging_1492/tillsyn/A 32653-2019 tillsynsbegäran.docx", "A 32653-2019")</f>
        <v/>
      </c>
      <c r="Y9">
        <f>HYPERLINK("https://klasma.github.io/Logging_1492/tillsynsmail/A 32653-2019 tillsynsbegäran mail.docx", "A 32653-2019")</f>
        <v/>
      </c>
      <c r="Z9">
        <f>HYPERLINK("https://klasma.github.io/Logging_1492/fåglar/A 32653-2019 prioriterade fågelarter.docx", "A 32653-2019")</f>
        <v/>
      </c>
    </row>
    <row r="10" ht="15" customHeight="1">
      <c r="A10" t="inlineStr">
        <is>
          <t>A 49530-2019</t>
        </is>
      </c>
      <c r="B10" s="1" t="n">
        <v>43732</v>
      </c>
      <c r="C10" s="1" t="n">
        <v>45812</v>
      </c>
      <c r="D10" t="inlineStr">
        <is>
          <t>VÄSTRA GÖTALANDS LÄN</t>
        </is>
      </c>
      <c r="E10" t="inlineStr">
        <is>
          <t>ÅMÅL</t>
        </is>
      </c>
      <c r="G10" t="n">
        <v>6.1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HYPERLINK("https://klasma.github.io/Logging_1492/artfynd/A 49530-2019 artfynd.xlsx", "A 49530-2019")</f>
        <v/>
      </c>
      <c r="T10">
        <f>HYPERLINK("https://klasma.github.io/Logging_1492/kartor/A 49530-2019 karta.png", "A 49530-2019")</f>
        <v/>
      </c>
      <c r="V10">
        <f>HYPERLINK("https://klasma.github.io/Logging_1492/klagomål/A 49530-2019 FSC-klagomål.docx", "A 49530-2019")</f>
        <v/>
      </c>
      <c r="W10">
        <f>HYPERLINK("https://klasma.github.io/Logging_1492/klagomålsmail/A 49530-2019 FSC-klagomål mail.docx", "A 49530-2019")</f>
        <v/>
      </c>
      <c r="X10">
        <f>HYPERLINK("https://klasma.github.io/Logging_1492/tillsyn/A 49530-2019 tillsynsbegäran.docx", "A 49530-2019")</f>
        <v/>
      </c>
      <c r="Y10">
        <f>HYPERLINK("https://klasma.github.io/Logging_1492/tillsynsmail/A 49530-2019 tillsynsbegäran mail.docx", "A 49530-2019")</f>
        <v/>
      </c>
    </row>
    <row r="11" ht="15" customHeight="1">
      <c r="A11" t="inlineStr">
        <is>
          <t>A 61788-2019</t>
        </is>
      </c>
      <c r="B11" s="1" t="n">
        <v>43785</v>
      </c>
      <c r="C11" s="1" t="n">
        <v>45812</v>
      </c>
      <c r="D11" t="inlineStr">
        <is>
          <t>VÄSTRA GÖTALANDS LÄN</t>
        </is>
      </c>
      <c r="E11" t="inlineStr">
        <is>
          <t>ÅMÅL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HYPERLINK("https://klasma.github.io/Logging_1492/artfynd/A 61788-2019 artfynd.xlsx", "A 61788-2019")</f>
        <v/>
      </c>
      <c r="T11">
        <f>HYPERLINK("https://klasma.github.io/Logging_1492/kartor/A 61788-2019 karta.png", "A 61788-2019")</f>
        <v/>
      </c>
      <c r="V11">
        <f>HYPERLINK("https://klasma.github.io/Logging_1492/klagomål/A 61788-2019 FSC-klagomål.docx", "A 61788-2019")</f>
        <v/>
      </c>
      <c r="W11">
        <f>HYPERLINK("https://klasma.github.io/Logging_1492/klagomålsmail/A 61788-2019 FSC-klagomål mail.docx", "A 61788-2019")</f>
        <v/>
      </c>
      <c r="X11">
        <f>HYPERLINK("https://klasma.github.io/Logging_1492/tillsyn/A 61788-2019 tillsynsbegäran.docx", "A 61788-2019")</f>
        <v/>
      </c>
      <c r="Y11">
        <f>HYPERLINK("https://klasma.github.io/Logging_1492/tillsynsmail/A 61788-2019 tillsynsbegäran mail.docx", "A 61788-2019")</f>
        <v/>
      </c>
    </row>
    <row r="12" ht="15" customHeight="1">
      <c r="A12" t="inlineStr">
        <is>
          <t>A 1275-2020</t>
        </is>
      </c>
      <c r="B12" s="1" t="n">
        <v>43841</v>
      </c>
      <c r="C12" s="1" t="n">
        <v>45812</v>
      </c>
      <c r="D12" t="inlineStr">
        <is>
          <t>VÄSTRA GÖTALANDS LÄN</t>
        </is>
      </c>
      <c r="E12" t="inlineStr">
        <is>
          <t>ÅMÅL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1275-2020 artfynd.xlsx", "A 1275-2020")</f>
        <v/>
      </c>
      <c r="T12">
        <f>HYPERLINK("https://klasma.github.io/Logging_1492/kartor/A 1275-2020 karta.png", "A 1275-2020")</f>
        <v/>
      </c>
      <c r="V12">
        <f>HYPERLINK("https://klasma.github.io/Logging_1492/klagomål/A 1275-2020 FSC-klagomål.docx", "A 1275-2020")</f>
        <v/>
      </c>
      <c r="W12">
        <f>HYPERLINK("https://klasma.github.io/Logging_1492/klagomålsmail/A 1275-2020 FSC-klagomål mail.docx", "A 1275-2020")</f>
        <v/>
      </c>
      <c r="X12">
        <f>HYPERLINK("https://klasma.github.io/Logging_1492/tillsyn/A 1275-2020 tillsynsbegäran.docx", "A 1275-2020")</f>
        <v/>
      </c>
      <c r="Y12">
        <f>HYPERLINK("https://klasma.github.io/Logging_1492/tillsynsmail/A 1275-2020 tillsynsbegäran mail.docx", "A 1275-2020")</f>
        <v/>
      </c>
    </row>
    <row r="13" ht="15" customHeight="1">
      <c r="A13" t="inlineStr">
        <is>
          <t>A 901-2021</t>
        </is>
      </c>
      <c r="B13" s="1" t="n">
        <v>44206</v>
      </c>
      <c r="C13" s="1" t="n">
        <v>45812</v>
      </c>
      <c r="D13" t="inlineStr">
        <is>
          <t>VÄSTRA GÖTALANDS LÄN</t>
        </is>
      </c>
      <c r="E13" t="inlineStr">
        <is>
          <t>ÅMÅL</t>
        </is>
      </c>
      <c r="G13" t="n">
        <v>8.199999999999999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HYPERLINK("https://klasma.github.io/Logging_1492/artfynd/A 901-2021 artfynd.xlsx", "A 901-2021")</f>
        <v/>
      </c>
      <c r="T13">
        <f>HYPERLINK("https://klasma.github.io/Logging_1492/kartor/A 901-2021 karta.png", "A 901-2021")</f>
        <v/>
      </c>
      <c r="V13">
        <f>HYPERLINK("https://klasma.github.io/Logging_1492/klagomål/A 901-2021 FSC-klagomål.docx", "A 901-2021")</f>
        <v/>
      </c>
      <c r="W13">
        <f>HYPERLINK("https://klasma.github.io/Logging_1492/klagomålsmail/A 901-2021 FSC-klagomål mail.docx", "A 901-2021")</f>
        <v/>
      </c>
      <c r="X13">
        <f>HYPERLINK("https://klasma.github.io/Logging_1492/tillsyn/A 901-2021 tillsynsbegäran.docx", "A 901-2021")</f>
        <v/>
      </c>
      <c r="Y13">
        <f>HYPERLINK("https://klasma.github.io/Logging_1492/tillsynsmail/A 901-2021 tillsynsbegäran mail.docx", "A 901-2021")</f>
        <v/>
      </c>
    </row>
    <row r="14" ht="15" customHeight="1">
      <c r="A14" t="inlineStr">
        <is>
          <t>A 12624-2021</t>
        </is>
      </c>
      <c r="B14" s="1" t="n">
        <v>44270</v>
      </c>
      <c r="C14" s="1" t="n">
        <v>45812</v>
      </c>
      <c r="D14" t="inlineStr">
        <is>
          <t>VÄSTRA GÖTALANDS LÄN</t>
        </is>
      </c>
      <c r="E14" t="inlineStr">
        <is>
          <t>ÅMÅL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Trollfibbla</t>
        </is>
      </c>
      <c r="S14">
        <f>HYPERLINK("https://klasma.github.io/Logging_1492/artfynd/A 12624-2021 artfynd.xlsx", "A 12624-2021")</f>
        <v/>
      </c>
      <c r="T14">
        <f>HYPERLINK("https://klasma.github.io/Logging_1492/kartor/A 12624-2021 karta.png", "A 12624-2021")</f>
        <v/>
      </c>
      <c r="V14">
        <f>HYPERLINK("https://klasma.github.io/Logging_1492/klagomål/A 12624-2021 FSC-klagomål.docx", "A 12624-2021")</f>
        <v/>
      </c>
      <c r="W14">
        <f>HYPERLINK("https://klasma.github.io/Logging_1492/klagomålsmail/A 12624-2021 FSC-klagomål mail.docx", "A 12624-2021")</f>
        <v/>
      </c>
      <c r="X14">
        <f>HYPERLINK("https://klasma.github.io/Logging_1492/tillsyn/A 12624-2021 tillsynsbegäran.docx", "A 12624-2021")</f>
        <v/>
      </c>
      <c r="Y14">
        <f>HYPERLINK("https://klasma.github.io/Logging_1492/tillsynsmail/A 12624-2021 tillsynsbegäran mail.docx", "A 12624-2021")</f>
        <v/>
      </c>
    </row>
    <row r="15" ht="15" customHeight="1">
      <c r="A15" t="inlineStr">
        <is>
          <t>A 48330-2021</t>
        </is>
      </c>
      <c r="B15" s="1" t="n">
        <v>44450</v>
      </c>
      <c r="C15" s="1" t="n">
        <v>45812</v>
      </c>
      <c r="D15" t="inlineStr">
        <is>
          <t>VÄSTRA GÖTALANDS LÄN</t>
        </is>
      </c>
      <c r="E15" t="inlineStr">
        <is>
          <t>ÅMÅL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Skogsödla</t>
        </is>
      </c>
      <c r="S15">
        <f>HYPERLINK("https://klasma.github.io/Logging_1492/artfynd/A 48330-2021 artfynd.xlsx", "A 48330-2021")</f>
        <v/>
      </c>
      <c r="T15">
        <f>HYPERLINK("https://klasma.github.io/Logging_1492/kartor/A 48330-2021 karta.png", "A 48330-2021")</f>
        <v/>
      </c>
      <c r="V15">
        <f>HYPERLINK("https://klasma.github.io/Logging_1492/klagomål/A 48330-2021 FSC-klagomål.docx", "A 48330-2021")</f>
        <v/>
      </c>
      <c r="W15">
        <f>HYPERLINK("https://klasma.github.io/Logging_1492/klagomålsmail/A 48330-2021 FSC-klagomål mail.docx", "A 48330-2021")</f>
        <v/>
      </c>
      <c r="X15">
        <f>HYPERLINK("https://klasma.github.io/Logging_1492/tillsyn/A 48330-2021 tillsynsbegäran.docx", "A 48330-2021")</f>
        <v/>
      </c>
      <c r="Y15">
        <f>HYPERLINK("https://klasma.github.io/Logging_1492/tillsynsmail/A 48330-2021 tillsynsbegäran mail.docx", "A 48330-2021")</f>
        <v/>
      </c>
    </row>
    <row r="16" ht="15" customHeight="1">
      <c r="A16" t="inlineStr">
        <is>
          <t>A 12413-2023</t>
        </is>
      </c>
      <c r="B16" s="1" t="n">
        <v>44999</v>
      </c>
      <c r="C16" s="1" t="n">
        <v>45812</v>
      </c>
      <c r="D16" t="inlineStr">
        <is>
          <t>VÄSTRA GÖTALANDS LÄN</t>
        </is>
      </c>
      <c r="E16" t="inlineStr">
        <is>
          <t>ÅMÅL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Bronshjon</t>
        </is>
      </c>
      <c r="S16">
        <f>HYPERLINK("https://klasma.github.io/Logging_1492/artfynd/A 12413-2023 artfynd.xlsx", "A 12413-2023")</f>
        <v/>
      </c>
      <c r="T16">
        <f>HYPERLINK("https://klasma.github.io/Logging_1492/kartor/A 12413-2023 karta.png", "A 12413-2023")</f>
        <v/>
      </c>
      <c r="V16">
        <f>HYPERLINK("https://klasma.github.io/Logging_1492/klagomål/A 12413-2023 FSC-klagomål.docx", "A 12413-2023")</f>
        <v/>
      </c>
      <c r="W16">
        <f>HYPERLINK("https://klasma.github.io/Logging_1492/klagomålsmail/A 12413-2023 FSC-klagomål mail.docx", "A 12413-2023")</f>
        <v/>
      </c>
      <c r="X16">
        <f>HYPERLINK("https://klasma.github.io/Logging_1492/tillsyn/A 12413-2023 tillsynsbegäran.docx", "A 12413-2023")</f>
        <v/>
      </c>
      <c r="Y16">
        <f>HYPERLINK("https://klasma.github.io/Logging_1492/tillsynsmail/A 12413-2023 tillsynsbegäran mail.docx", "A 12413-2023")</f>
        <v/>
      </c>
    </row>
    <row r="17" ht="15" customHeight="1">
      <c r="A17" t="inlineStr">
        <is>
          <t>A 38064-2023</t>
        </is>
      </c>
      <c r="B17" s="1" t="n">
        <v>45159</v>
      </c>
      <c r="C17" s="1" t="n">
        <v>45812</v>
      </c>
      <c r="D17" t="inlineStr">
        <is>
          <t>VÄSTRA GÖTALANDS LÄN</t>
        </is>
      </c>
      <c r="E17" t="inlineStr">
        <is>
          <t>ÅMÅL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HYPERLINK("https://klasma.github.io/Logging_1492/artfynd/A 38064-2023 artfynd.xlsx", "A 38064-2023")</f>
        <v/>
      </c>
      <c r="T17">
        <f>HYPERLINK("https://klasma.github.io/Logging_1492/kartor/A 38064-2023 karta.png", "A 38064-2023")</f>
        <v/>
      </c>
      <c r="V17">
        <f>HYPERLINK("https://klasma.github.io/Logging_1492/klagomål/A 38064-2023 FSC-klagomål.docx", "A 38064-2023")</f>
        <v/>
      </c>
      <c r="W17">
        <f>HYPERLINK("https://klasma.github.io/Logging_1492/klagomålsmail/A 38064-2023 FSC-klagomål mail.docx", "A 38064-2023")</f>
        <v/>
      </c>
      <c r="X17">
        <f>HYPERLINK("https://klasma.github.io/Logging_1492/tillsyn/A 38064-2023 tillsynsbegäran.docx", "A 38064-2023")</f>
        <v/>
      </c>
      <c r="Y17">
        <f>HYPERLINK("https://klasma.github.io/Logging_1492/tillsynsmail/A 38064-2023 tillsynsbegäran mail.docx", "A 38064-2023")</f>
        <v/>
      </c>
    </row>
    <row r="18" ht="15" customHeight="1">
      <c r="A18" t="inlineStr">
        <is>
          <t>A 50546-2024</t>
        </is>
      </c>
      <c r="B18" s="1" t="n">
        <v>45601</v>
      </c>
      <c r="C18" s="1" t="n">
        <v>45812</v>
      </c>
      <c r="D18" t="inlineStr">
        <is>
          <t>VÄSTRA GÖTALANDS LÄN</t>
        </is>
      </c>
      <c r="E18" t="inlineStr">
        <is>
          <t>ÅMÅL</t>
        </is>
      </c>
      <c r="G18" t="n">
        <v>10.2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 fjädermossa</t>
        </is>
      </c>
      <c r="S18">
        <f>HYPERLINK("https://klasma.github.io/Logging_1492/artfynd/A 50546-2024 artfynd.xlsx", "A 50546-2024")</f>
        <v/>
      </c>
      <c r="T18">
        <f>HYPERLINK("https://klasma.github.io/Logging_1492/kartor/A 50546-2024 karta.png", "A 50546-2024")</f>
        <v/>
      </c>
      <c r="V18">
        <f>HYPERLINK("https://klasma.github.io/Logging_1492/klagomål/A 50546-2024 FSC-klagomål.docx", "A 50546-2024")</f>
        <v/>
      </c>
      <c r="W18">
        <f>HYPERLINK("https://klasma.github.io/Logging_1492/klagomålsmail/A 50546-2024 FSC-klagomål mail.docx", "A 50546-2024")</f>
        <v/>
      </c>
      <c r="X18">
        <f>HYPERLINK("https://klasma.github.io/Logging_1492/tillsyn/A 50546-2024 tillsynsbegäran.docx", "A 50546-2024")</f>
        <v/>
      </c>
      <c r="Y18">
        <f>HYPERLINK("https://klasma.github.io/Logging_1492/tillsynsmail/A 50546-2024 tillsynsbegäran mail.docx", "A 50546-2024")</f>
        <v/>
      </c>
    </row>
    <row r="19" ht="15" customHeight="1">
      <c r="A19" t="inlineStr">
        <is>
          <t>A 58632-2024</t>
        </is>
      </c>
      <c r="B19" s="1" t="n">
        <v>45635</v>
      </c>
      <c r="C19" s="1" t="n">
        <v>45812</v>
      </c>
      <c r="D19" t="inlineStr">
        <is>
          <t>VÄSTRA GÖTALANDS LÄN</t>
        </is>
      </c>
      <c r="E19" t="inlineStr">
        <is>
          <t>ÅMÅL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HYPERLINK("https://klasma.github.io/Logging_1492/artfynd/A 58632-2024 artfynd.xlsx", "A 58632-2024")</f>
        <v/>
      </c>
      <c r="T19">
        <f>HYPERLINK("https://klasma.github.io/Logging_1492/kartor/A 58632-2024 karta.png", "A 58632-2024")</f>
        <v/>
      </c>
      <c r="V19">
        <f>HYPERLINK("https://klasma.github.io/Logging_1492/klagomål/A 58632-2024 FSC-klagomål.docx", "A 58632-2024")</f>
        <v/>
      </c>
      <c r="W19">
        <f>HYPERLINK("https://klasma.github.io/Logging_1492/klagomålsmail/A 58632-2024 FSC-klagomål mail.docx", "A 58632-2024")</f>
        <v/>
      </c>
      <c r="X19">
        <f>HYPERLINK("https://klasma.github.io/Logging_1492/tillsyn/A 58632-2024 tillsynsbegäran.docx", "A 58632-2024")</f>
        <v/>
      </c>
      <c r="Y19">
        <f>HYPERLINK("https://klasma.github.io/Logging_1492/tillsynsmail/A 58632-2024 tillsynsbegäran mail.docx", "A 58632-2024")</f>
        <v/>
      </c>
    </row>
    <row r="20" ht="15" customHeight="1">
      <c r="A20" t="inlineStr">
        <is>
          <t>A 17958-2019</t>
        </is>
      </c>
      <c r="B20" s="1" t="n">
        <v>43556</v>
      </c>
      <c r="C20" s="1" t="n">
        <v>45812</v>
      </c>
      <c r="D20" t="inlineStr">
        <is>
          <t>VÄSTRA GÖTALANDS LÄN</t>
        </is>
      </c>
      <c r="E20" t="inlineStr">
        <is>
          <t>ÅMÅL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18387-2019</t>
        </is>
      </c>
      <c r="B21" s="1" t="n">
        <v>43557</v>
      </c>
      <c r="C21" s="1" t="n">
        <v>45812</v>
      </c>
      <c r="D21" t="inlineStr">
        <is>
          <t>VÄSTRA GÖTALANDS LÄN</t>
        </is>
      </c>
      <c r="E21" t="inlineStr">
        <is>
          <t>ÅMÅL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19031-2019</t>
        </is>
      </c>
      <c r="B22" s="1" t="n">
        <v>43563</v>
      </c>
      <c r="C22" s="1" t="n">
        <v>45812</v>
      </c>
      <c r="D22" t="inlineStr">
        <is>
          <t>VÄSTRA GÖTALANDS LÄN</t>
        </is>
      </c>
      <c r="E22" t="inlineStr">
        <is>
          <t>ÅMÅL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21194-2019</t>
        </is>
      </c>
      <c r="B23" s="1" t="n">
        <v>43579</v>
      </c>
      <c r="C23" s="1" t="n">
        <v>45812</v>
      </c>
      <c r="D23" t="inlineStr">
        <is>
          <t>VÄSTRA GÖTALANDS LÄN</t>
        </is>
      </c>
      <c r="E23" t="inlineStr">
        <is>
          <t>ÅMÅL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21910-2019</t>
        </is>
      </c>
      <c r="B24" s="1" t="n">
        <v>43584</v>
      </c>
      <c r="C24" s="1" t="n">
        <v>45812</v>
      </c>
      <c r="D24" t="inlineStr">
        <is>
          <t>VÄSTRA GÖTALANDS LÄN</t>
        </is>
      </c>
      <c r="E24" t="inlineStr">
        <is>
          <t>ÅMÅL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24464-2019</t>
        </is>
      </c>
      <c r="B25" s="1" t="n">
        <v>43600</v>
      </c>
      <c r="C25" s="1" t="n">
        <v>45812</v>
      </c>
      <c r="D25" t="inlineStr">
        <is>
          <t>VÄSTRA GÖTALANDS LÄN</t>
        </is>
      </c>
      <c r="E25" t="inlineStr">
        <is>
          <t>ÅMÅL</t>
        </is>
      </c>
      <c r="G25" t="n">
        <v>18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27291-2019</t>
        </is>
      </c>
      <c r="B26" s="1" t="n">
        <v>43616</v>
      </c>
      <c r="C26" s="1" t="n">
        <v>45812</v>
      </c>
      <c r="D26" t="inlineStr">
        <is>
          <t>VÄSTRA GÖTALANDS LÄN</t>
        </is>
      </c>
      <c r="E26" t="inlineStr">
        <is>
          <t>ÅMÅL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28187-2019</t>
        </is>
      </c>
      <c r="B27" s="1" t="n">
        <v>43621</v>
      </c>
      <c r="C27" s="1" t="n">
        <v>45812</v>
      </c>
      <c r="D27" t="inlineStr">
        <is>
          <t>VÄSTRA GÖTALANDS LÄN</t>
        </is>
      </c>
      <c r="E27" t="inlineStr">
        <is>
          <t>ÅMÅL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30406-2019</t>
        </is>
      </c>
      <c r="B28" s="1" t="n">
        <v>43633</v>
      </c>
      <c r="C28" s="1" t="n">
        <v>45812</v>
      </c>
      <c r="D28" t="inlineStr">
        <is>
          <t>VÄSTRA GÖTALANDS LÄN</t>
        </is>
      </c>
      <c r="E28" t="inlineStr">
        <is>
          <t>ÅMÅL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45812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45812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45812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45812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45812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45812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45812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45812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45812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45812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45812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45812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45812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45812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45812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45812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45812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45812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45812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45812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45812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45812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45812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45812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45812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45812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45812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45812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45812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45812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45812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45812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45812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45812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45812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45812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45812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45812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45812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45812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45812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45812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45812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45812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45812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45812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45812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45812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45812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45812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45812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45812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45812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45812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45812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45812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45812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45812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45812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45812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45812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45812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45812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45812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45812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45812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45812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45812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45812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45812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45812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45812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45812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45812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45812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45812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45812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45812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45812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45812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45812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45812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45812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45812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45812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45812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45812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45812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45812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45812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45812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45812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45812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45812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45812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45812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45812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45812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45812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45812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45812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45812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45812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45812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45812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45812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45812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45812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45812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45812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45812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45812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45812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45812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45812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45812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45812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45812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45812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45812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45812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45812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45812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45812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45812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45812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45812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45812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45812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45812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45812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45812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45812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45812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45812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45812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45812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45812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45812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45812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45812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45812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45812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45812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45812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45812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45812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45812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45812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45812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45812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45812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45812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45812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45812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45812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45812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45812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45812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45812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45812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45812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45812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45812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45812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45812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45812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45812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45812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45812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45812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45812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45812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45812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45812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45812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45812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45812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45812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45812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45812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45812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45812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45812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45812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45812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45812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45812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45812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45812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45812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45812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45812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45812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45812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45812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45812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45812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45812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45812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45812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45812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45812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45812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45812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45812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45812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45812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45812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45812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45812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45812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45812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45812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45812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45812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45812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45812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45812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45812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45812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45812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45812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45812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45812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45812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45812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45812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45812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45812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45812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45812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45812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45812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45812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45812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45812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45812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45812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45812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45812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45812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45812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45812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45812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45812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45812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45812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45812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45812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45812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45812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45812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45812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45812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45812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45812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45812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45812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45812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45812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45812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45812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45812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45812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45812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45812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45812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45812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45812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45812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45812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45812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45812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45812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45812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45812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45812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45812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45812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45812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45812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45812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45812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45812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45812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45812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45812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45812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45812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45812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45812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45812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45812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45812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45812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45812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45812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45812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45812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45812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45812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45812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45812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45812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45812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45812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45812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45812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45812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45812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45812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45812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45812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45812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45812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45812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45812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45812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45812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45812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45812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45812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45812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45812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45812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45812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45812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45812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45812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45812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45812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45812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45812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45812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45812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45812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45812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45812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45812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45812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45812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45812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45812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45812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45812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45812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45812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45812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45812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45812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45812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45812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45812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45812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45812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45812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45812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45812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45812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45812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45812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45812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45812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45812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45812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45812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45812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45812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45812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45812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45812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45812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45812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45812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45812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45812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45812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45812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45812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45812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45812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45812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45812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45812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45812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45812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45812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45812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45812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45812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45812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45812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45812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45812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45812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45812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45812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45812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45812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45812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45812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45812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45812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45812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45812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45812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45812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45812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45812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45812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45812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45812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45812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45812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45812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45812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45812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45812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45812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45812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45812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45812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45812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45812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45812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45812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45812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45812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45812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45812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45812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45812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45812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45812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45812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45812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45812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45812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45812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45812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45812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45812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45812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45812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45812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45812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45812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45812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45812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45812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45812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45812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45812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45812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45812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8092-2025</t>
        </is>
      </c>
      <c r="B485" s="1" t="n">
        <v>45707</v>
      </c>
      <c r="C485" s="1" t="n">
        <v>45812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8086-2025</t>
        </is>
      </c>
      <c r="B486" s="1" t="n">
        <v>45707</v>
      </c>
      <c r="C486" s="1" t="n">
        <v>45812</v>
      </c>
      <c r="D486" t="inlineStr">
        <is>
          <t>VÄSTRA GÖTALANDS LÄN</t>
        </is>
      </c>
      <c r="E486" t="inlineStr">
        <is>
          <t>ÅMÅL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8089-2025</t>
        </is>
      </c>
      <c r="B487" s="1" t="n">
        <v>45707</v>
      </c>
      <c r="C487" s="1" t="n">
        <v>45812</v>
      </c>
      <c r="D487" t="inlineStr">
        <is>
          <t>VÄSTRA GÖTALANDS LÄN</t>
        </is>
      </c>
      <c r="E487" t="inlineStr">
        <is>
          <t>ÅMÅL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45812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45812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9852-2025</t>
        </is>
      </c>
      <c r="B490" s="1" t="n">
        <v>45716</v>
      </c>
      <c r="C490" s="1" t="n">
        <v>45812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14904-2025</t>
        </is>
      </c>
      <c r="B491" s="1" t="n">
        <v>45743</v>
      </c>
      <c r="C491" s="1" t="n">
        <v>45812</v>
      </c>
      <c r="D491" t="inlineStr">
        <is>
          <t>VÄSTRA GÖTALANDS LÄN</t>
        </is>
      </c>
      <c r="E491" t="inlineStr">
        <is>
          <t>ÅMÅL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16359-2025</t>
        </is>
      </c>
      <c r="B492" s="1" t="n">
        <v>45751</v>
      </c>
      <c r="C492" s="1" t="n">
        <v>45812</v>
      </c>
      <c r="D492" t="inlineStr">
        <is>
          <t>VÄSTRA GÖTALANDS LÄN</t>
        </is>
      </c>
      <c r="E492" t="inlineStr">
        <is>
          <t>ÅMÅL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17373-2025</t>
        </is>
      </c>
      <c r="B493" s="1" t="n">
        <v>45756</v>
      </c>
      <c r="C493" s="1" t="n">
        <v>45812</v>
      </c>
      <c r="D493" t="inlineStr">
        <is>
          <t>VÄSTRA GÖTALANDS LÄN</t>
        </is>
      </c>
      <c r="E493" t="inlineStr">
        <is>
          <t>ÅMÅL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19127-2025</t>
        </is>
      </c>
      <c r="B494" s="1" t="n">
        <v>45769</v>
      </c>
      <c r="C494" s="1" t="n">
        <v>45812</v>
      </c>
      <c r="D494" t="inlineStr">
        <is>
          <t>VÄSTRA GÖTALANDS LÄN</t>
        </is>
      </c>
      <c r="E494" t="inlineStr">
        <is>
          <t>ÅMÅL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19914-2025</t>
        </is>
      </c>
      <c r="B495" s="1" t="n">
        <v>45771</v>
      </c>
      <c r="C495" s="1" t="n">
        <v>45812</v>
      </c>
      <c r="D495" t="inlineStr">
        <is>
          <t>VÄSTRA GÖTALANDS LÄN</t>
        </is>
      </c>
      <c r="E495" t="inlineStr">
        <is>
          <t>ÅMÅL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21024-2025</t>
        </is>
      </c>
      <c r="B496" s="1" t="n">
        <v>45777</v>
      </c>
      <c r="C496" s="1" t="n">
        <v>45812</v>
      </c>
      <c r="D496" t="inlineStr">
        <is>
          <t>VÄSTRA GÖTALANDS LÄN</t>
        </is>
      </c>
      <c r="E496" t="inlineStr">
        <is>
          <t>ÅMÅL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21028-2025</t>
        </is>
      </c>
      <c r="B497" s="1" t="n">
        <v>45777</v>
      </c>
      <c r="C497" s="1" t="n">
        <v>45812</v>
      </c>
      <c r="D497" t="inlineStr">
        <is>
          <t>VÄSTRA GÖTALANDS LÄN</t>
        </is>
      </c>
      <c r="E497" t="inlineStr">
        <is>
          <t>ÅMÅL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21032-2025</t>
        </is>
      </c>
      <c r="B498" s="1" t="n">
        <v>45777</v>
      </c>
      <c r="C498" s="1" t="n">
        <v>45812</v>
      </c>
      <c r="D498" t="inlineStr">
        <is>
          <t>VÄSTRA GÖTALANDS LÄN</t>
        </is>
      </c>
      <c r="E498" t="inlineStr">
        <is>
          <t>ÅMÅL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21106-2025</t>
        </is>
      </c>
      <c r="B499" s="1" t="n">
        <v>45777</v>
      </c>
      <c r="C499" s="1" t="n">
        <v>45812</v>
      </c>
      <c r="D499" t="inlineStr">
        <is>
          <t>VÄSTRA GÖTALANDS LÄN</t>
        </is>
      </c>
      <c r="E499" t="inlineStr">
        <is>
          <t>ÅMÅL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21137-2025</t>
        </is>
      </c>
      <c r="B500" s="1" t="n">
        <v>45778</v>
      </c>
      <c r="C500" s="1" t="n">
        <v>45812</v>
      </c>
      <c r="D500" t="inlineStr">
        <is>
          <t>VÄSTRA GÖTALANDS LÄN</t>
        </is>
      </c>
      <c r="E500" t="inlineStr">
        <is>
          <t>ÅMÅL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21425-2025</t>
        </is>
      </c>
      <c r="B501" s="1" t="n">
        <v>45782</v>
      </c>
      <c r="C501" s="1" t="n">
        <v>45812</v>
      </c>
      <c r="D501" t="inlineStr">
        <is>
          <t>VÄSTRA GÖTALANDS LÄN</t>
        </is>
      </c>
      <c r="E501" t="inlineStr">
        <is>
          <t>ÅMÅL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23240-2025</t>
        </is>
      </c>
      <c r="B502" s="1" t="n">
        <v>45791</v>
      </c>
      <c r="C502" s="1" t="n">
        <v>45812</v>
      </c>
      <c r="D502" t="inlineStr">
        <is>
          <t>VÄSTRA GÖTALANDS LÄN</t>
        </is>
      </c>
      <c r="E502" t="inlineStr">
        <is>
          <t>ÅMÅL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23133-2025</t>
        </is>
      </c>
      <c r="B503" s="1" t="n">
        <v>45791</v>
      </c>
      <c r="C503" s="1" t="n">
        <v>45812</v>
      </c>
      <c r="D503" t="inlineStr">
        <is>
          <t>VÄSTRA GÖTALANDS LÄN</t>
        </is>
      </c>
      <c r="E503" t="inlineStr">
        <is>
          <t>ÅMÅL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23226-2025</t>
        </is>
      </c>
      <c r="B504" s="1" t="n">
        <v>45791</v>
      </c>
      <c r="C504" s="1" t="n">
        <v>45812</v>
      </c>
      <c r="D504" t="inlineStr">
        <is>
          <t>VÄSTRA GÖTALANDS LÄN</t>
        </is>
      </c>
      <c r="E504" t="inlineStr">
        <is>
          <t>ÅMÅL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23215-2025</t>
        </is>
      </c>
      <c r="B505" s="1" t="n">
        <v>45791</v>
      </c>
      <c r="C505" s="1" t="n">
        <v>45812</v>
      </c>
      <c r="D505" t="inlineStr">
        <is>
          <t>VÄSTRA GÖTALANDS LÄN</t>
        </is>
      </c>
      <c r="E505" t="inlineStr">
        <is>
          <t>ÅMÅL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23125-2025</t>
        </is>
      </c>
      <c r="B506" s="1" t="n">
        <v>45791</v>
      </c>
      <c r="C506" s="1" t="n">
        <v>45812</v>
      </c>
      <c r="D506" t="inlineStr">
        <is>
          <t>VÄSTRA GÖTALANDS LÄN</t>
        </is>
      </c>
      <c r="E506" t="inlineStr">
        <is>
          <t>ÅMÅL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23670-2025</t>
        </is>
      </c>
      <c r="B507" s="1" t="n">
        <v>45793</v>
      </c>
      <c r="C507" s="1" t="n">
        <v>45812</v>
      </c>
      <c r="D507" t="inlineStr">
        <is>
          <t>VÄSTRA GÖTALANDS LÄN</t>
        </is>
      </c>
      <c r="E507" t="inlineStr">
        <is>
          <t>ÅMÅL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23780-2025</t>
        </is>
      </c>
      <c r="B508" s="1" t="n">
        <v>45793</v>
      </c>
      <c r="C508" s="1" t="n">
        <v>45812</v>
      </c>
      <c r="D508" t="inlineStr">
        <is>
          <t>VÄSTRA GÖTALANDS LÄN</t>
        </is>
      </c>
      <c r="E508" t="inlineStr">
        <is>
          <t>ÅMÅL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23784-2025</t>
        </is>
      </c>
      <c r="B509" s="1" t="n">
        <v>45793</v>
      </c>
      <c r="C509" s="1" t="n">
        <v>45812</v>
      </c>
      <c r="D509" t="inlineStr">
        <is>
          <t>VÄSTRA GÖTALANDS LÄN</t>
        </is>
      </c>
      <c r="E509" t="inlineStr">
        <is>
          <t>ÅMÅL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25261-2025</t>
        </is>
      </c>
      <c r="B510" s="1" t="n">
        <v>45800</v>
      </c>
      <c r="C510" s="1" t="n">
        <v>45812</v>
      </c>
      <c r="D510" t="inlineStr">
        <is>
          <t>VÄSTRA GÖTALANDS LÄN</t>
        </is>
      </c>
      <c r="E510" t="inlineStr">
        <is>
          <t>ÅMÅL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25751-2025</t>
        </is>
      </c>
      <c r="B511" s="1" t="n">
        <v>45800</v>
      </c>
      <c r="C511" s="1" t="n">
        <v>45812</v>
      </c>
      <c r="D511" t="inlineStr">
        <is>
          <t>VÄSTRA GÖTALANDS LÄN</t>
        </is>
      </c>
      <c r="E511" t="inlineStr">
        <is>
          <t>ÅMÅL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25748-2025</t>
        </is>
      </c>
      <c r="B512" s="1" t="n">
        <v>45800</v>
      </c>
      <c r="C512" s="1" t="n">
        <v>45812</v>
      </c>
      <c r="D512" t="inlineStr">
        <is>
          <t>VÄSTRA GÖTALANDS LÄN</t>
        </is>
      </c>
      <c r="E512" t="inlineStr">
        <is>
          <t>ÅMÅL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25693-2025</t>
        </is>
      </c>
      <c r="B513" s="1" t="n">
        <v>45803</v>
      </c>
      <c r="C513" s="1" t="n">
        <v>45812</v>
      </c>
      <c r="D513" t="inlineStr">
        <is>
          <t>VÄSTRA GÖTALANDS LÄN</t>
        </is>
      </c>
      <c r="E513" t="inlineStr">
        <is>
          <t>ÅMÅL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25817-2025</t>
        </is>
      </c>
      <c r="B514" s="1" t="n">
        <v>45804</v>
      </c>
      <c r="C514" s="1" t="n">
        <v>45812</v>
      </c>
      <c r="D514" t="inlineStr">
        <is>
          <t>VÄSTRA GÖTALANDS LÄN</t>
        </is>
      </c>
      <c r="E514" t="inlineStr">
        <is>
          <t>ÅMÅL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25818-2025</t>
        </is>
      </c>
      <c r="B515" s="1" t="n">
        <v>45804</v>
      </c>
      <c r="C515" s="1" t="n">
        <v>45812</v>
      </c>
      <c r="D515" t="inlineStr">
        <is>
          <t>VÄSTRA GÖTALANDS LÄN</t>
        </is>
      </c>
      <c r="E515" t="inlineStr">
        <is>
          <t>ÅMÅL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25815-2025</t>
        </is>
      </c>
      <c r="B516" s="1" t="n">
        <v>45804</v>
      </c>
      <c r="C516" s="1" t="n">
        <v>45812</v>
      </c>
      <c r="D516" t="inlineStr">
        <is>
          <t>VÄSTRA GÖTALANDS LÄN</t>
        </is>
      </c>
      <c r="E516" t="inlineStr">
        <is>
          <t>ÅMÅL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25822-2025</t>
        </is>
      </c>
      <c r="B517" s="1" t="n">
        <v>45804</v>
      </c>
      <c r="C517" s="1" t="n">
        <v>45812</v>
      </c>
      <c r="D517" t="inlineStr">
        <is>
          <t>VÄSTRA GÖTALANDS LÄN</t>
        </is>
      </c>
      <c r="E517" t="inlineStr">
        <is>
          <t>ÅMÅL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26911-2025</t>
        </is>
      </c>
      <c r="B518" s="1" t="n">
        <v>45811</v>
      </c>
      <c r="C518" s="1" t="n">
        <v>45812</v>
      </c>
      <c r="D518" t="inlineStr">
        <is>
          <t>VÄSTRA GÖTALANDS LÄN</t>
        </is>
      </c>
      <c r="E518" t="inlineStr">
        <is>
          <t>ÅMÅL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26912-2025</t>
        </is>
      </c>
      <c r="B519" s="1" t="n">
        <v>45811</v>
      </c>
      <c r="C519" s="1" t="n">
        <v>45812</v>
      </c>
      <c r="D519" t="inlineStr">
        <is>
          <t>VÄSTRA GÖTALANDS LÄN</t>
        </is>
      </c>
      <c r="E519" t="inlineStr">
        <is>
          <t>ÅMÅL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26914-2025</t>
        </is>
      </c>
      <c r="B520" s="1" t="n">
        <v>45811</v>
      </c>
      <c r="C520" s="1" t="n">
        <v>45812</v>
      </c>
      <c r="D520" t="inlineStr">
        <is>
          <t>VÄSTRA GÖTALANDS LÄN</t>
        </is>
      </c>
      <c r="E520" t="inlineStr">
        <is>
          <t>ÅMÅL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2025-06-04T18:13:21Z</dcterms:created>
  <dcterms:modified xmlns:dcterms="http://purl.org/dc/terms/" xmlns:xsi="http://www.w3.org/2001/XMLSchema-instance" xsi:type="dcterms:W3CDTF">2025-06-04T18:13:21Z</dcterms:modified>
</cp:coreProperties>
</file>