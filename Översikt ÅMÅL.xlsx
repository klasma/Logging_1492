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46138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59493-2024</t>
        </is>
      </c>
      <c r="B7" s="1" t="n">
        <v>45637</v>
      </c>
      <c r="C7" s="1" t="n">
        <v>46138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Skrovellav</t>
        </is>
      </c>
      <c r="S7">
        <f>HYPERLINK("https://klasma.github.io/Logging_1492/artfynd/A 59493-2024 artfynd.xlsx", "A 59493-2024")</f>
        <v/>
      </c>
      <c r="T7">
        <f>HYPERLINK("https://klasma.github.io/Logging_1492/kartor/A 59493-2024 karta.png", "A 59493-2024")</f>
        <v/>
      </c>
      <c r="V7">
        <f>HYPERLINK("https://klasma.github.io/Logging_1492/klagomål/A 59493-2024 FSC-klagomål.docx", "A 59493-2024")</f>
        <v/>
      </c>
      <c r="W7">
        <f>HYPERLINK("https://klasma.github.io/Logging_1492/klagomålsmail/A 59493-2024 FSC-klagomål mail.docx", "A 59493-2024")</f>
        <v/>
      </c>
      <c r="X7">
        <f>HYPERLINK("https://klasma.github.io/Logging_1492/tillsyn/A 59493-2024 tillsynsbegäran.docx", "A 59493-2024")</f>
        <v/>
      </c>
      <c r="Y7">
        <f>HYPERLINK("https://klasma.github.io/Logging_1492/tillsynsmail/A 59493-2024 tillsynsbegäran mail.docx", "A 59493-2024")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46138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46138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46138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46138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46138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46138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46138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46138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46138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46138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25830-2022</t>
        </is>
      </c>
      <c r="B23" s="1" t="n">
        <v>44733</v>
      </c>
      <c r="C23" s="1" t="n">
        <v>46138</v>
      </c>
      <c r="D23" t="inlineStr">
        <is>
          <t>VÄSTRA GÖTALANDS LÄN</t>
        </is>
      </c>
      <c r="E23" t="inlineStr">
        <is>
          <t>ÅMÅL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46138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46138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46138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39842-2021</t>
        </is>
      </c>
      <c r="B29" s="1" t="n">
        <v>44417.63443287037</v>
      </c>
      <c r="C29" s="1" t="n">
        <v>46138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46138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46138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37813-2021</t>
        </is>
      </c>
      <c r="B32" s="1" t="n">
        <v>44402</v>
      </c>
      <c r="C32" s="1" t="n">
        <v>46138</v>
      </c>
      <c r="D32" t="inlineStr">
        <is>
          <t>VÄSTRA GÖTALANDS LÄN</t>
        </is>
      </c>
      <c r="E32" t="inlineStr">
        <is>
          <t>ÅMÅL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37814-2021</t>
        </is>
      </c>
      <c r="B33" s="1" t="n">
        <v>44402</v>
      </c>
      <c r="C33" s="1" t="n">
        <v>46138</v>
      </c>
      <c r="D33" t="inlineStr">
        <is>
          <t>VÄSTRA GÖTALANDS LÄN</t>
        </is>
      </c>
      <c r="E33" t="inlineStr">
        <is>
          <t>ÅMÅL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37787-2021</t>
        </is>
      </c>
      <c r="B34" s="1" t="n">
        <v>44401</v>
      </c>
      <c r="C34" s="1" t="n">
        <v>46138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46138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46138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46138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46138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46138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46138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46138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46138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46138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10951-2024</t>
        </is>
      </c>
      <c r="B45" s="1" t="n">
        <v>45370</v>
      </c>
      <c r="C45" s="1" t="n">
        <v>46138</v>
      </c>
      <c r="D45" t="inlineStr">
        <is>
          <t>VÄSTRA GÖTALANDS LÄN</t>
        </is>
      </c>
      <c r="E45" t="inlineStr">
        <is>
          <t>ÅMÅL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46138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27836-2023</t>
        </is>
      </c>
      <c r="B47" s="1" t="n">
        <v>45098.5433912037</v>
      </c>
      <c r="C47" s="1" t="n">
        <v>46138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46138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2027-2022</t>
        </is>
      </c>
      <c r="B49" s="1" t="n">
        <v>44575</v>
      </c>
      <c r="C49" s="1" t="n">
        <v>46138</v>
      </c>
      <c r="D49" t="inlineStr">
        <is>
          <t>VÄSTRA GÖTALANDS LÄN</t>
        </is>
      </c>
      <c r="E49" t="inlineStr">
        <is>
          <t>ÅMÅL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46138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16830-2023</t>
        </is>
      </c>
      <c r="B51" s="1" t="n">
        <v>45029</v>
      </c>
      <c r="C51" s="1" t="n">
        <v>46138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54943-2023</t>
        </is>
      </c>
      <c r="B52" s="1" t="n">
        <v>45236</v>
      </c>
      <c r="C52" s="1" t="n">
        <v>46138</v>
      </c>
      <c r="D52" t="inlineStr">
        <is>
          <t>VÄSTRA GÖTALANDS LÄN</t>
        </is>
      </c>
      <c r="E52" t="inlineStr">
        <is>
          <t>ÅMÅL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38565-2021</t>
        </is>
      </c>
      <c r="B53" s="1" t="n">
        <v>44407.70063657407</v>
      </c>
      <c r="C53" s="1" t="n">
        <v>46138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14225-2022</t>
        </is>
      </c>
      <c r="B54" s="1" t="n">
        <v>44651.6403587963</v>
      </c>
      <c r="C54" s="1" t="n">
        <v>46138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28143-2023</t>
        </is>
      </c>
      <c r="B55" s="1" t="n">
        <v>45099.48545138889</v>
      </c>
      <c r="C55" s="1" t="n">
        <v>46138</v>
      </c>
      <c r="D55" t="inlineStr">
        <is>
          <t>VÄSTRA GÖTALANDS LÄN</t>
        </is>
      </c>
      <c r="E55" t="inlineStr">
        <is>
          <t>ÅMÅL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52321-2023</t>
        </is>
      </c>
      <c r="B56" s="1" t="n">
        <v>45224.64361111111</v>
      </c>
      <c r="C56" s="1" t="n">
        <v>46138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34979-2024</t>
        </is>
      </c>
      <c r="B57" s="1" t="n">
        <v>45527</v>
      </c>
      <c r="C57" s="1" t="n">
        <v>46138</v>
      </c>
      <c r="D57" t="inlineStr">
        <is>
          <t>VÄSTRA GÖTALANDS LÄN</t>
        </is>
      </c>
      <c r="E57" t="inlineStr">
        <is>
          <t>ÅMÅL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49146-2024</t>
        </is>
      </c>
      <c r="B58" s="1" t="n">
        <v>45594.7358912037</v>
      </c>
      <c r="C58" s="1" t="n">
        <v>46138</v>
      </c>
      <c r="D58" t="inlineStr">
        <is>
          <t>VÄSTRA GÖTALANDS LÄN</t>
        </is>
      </c>
      <c r="E58" t="inlineStr">
        <is>
          <t>ÅMÅL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46138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30990-2023</t>
        </is>
      </c>
      <c r="B60" s="1" t="n">
        <v>45113</v>
      </c>
      <c r="C60" s="1" t="n">
        <v>46138</v>
      </c>
      <c r="D60" t="inlineStr">
        <is>
          <t>VÄSTRA GÖTALANDS LÄN</t>
        </is>
      </c>
      <c r="E60" t="inlineStr">
        <is>
          <t>ÅMÅL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17373-2025</t>
        </is>
      </c>
      <c r="B61" s="1" t="n">
        <v>45756.86658564815</v>
      </c>
      <c r="C61" s="1" t="n">
        <v>46138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36289-2024</t>
        </is>
      </c>
      <c r="B62" s="1" t="n">
        <v>45534</v>
      </c>
      <c r="C62" s="1" t="n">
        <v>46138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31333-2024</t>
        </is>
      </c>
      <c r="B63" s="1" t="n">
        <v>45504</v>
      </c>
      <c r="C63" s="1" t="n">
        <v>46138</v>
      </c>
      <c r="D63" t="inlineStr">
        <is>
          <t>VÄSTRA GÖTALANDS LÄN</t>
        </is>
      </c>
      <c r="E63" t="inlineStr">
        <is>
          <t>ÅMÅL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1954-2025</t>
        </is>
      </c>
      <c r="B64" s="1" t="n">
        <v>45671</v>
      </c>
      <c r="C64" s="1" t="n">
        <v>46138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41726-2024</t>
        </is>
      </c>
      <c r="B65" s="1" t="n">
        <v>45560.87462962963</v>
      </c>
      <c r="C65" s="1" t="n">
        <v>46138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32745-2024</t>
        </is>
      </c>
      <c r="B66" s="1" t="n">
        <v>45516</v>
      </c>
      <c r="C66" s="1" t="n">
        <v>46138</v>
      </c>
      <c r="D66" t="inlineStr">
        <is>
          <t>VÄSTRA GÖTALANDS LÄN</t>
        </is>
      </c>
      <c r="E66" t="inlineStr">
        <is>
          <t>ÅMÅL</t>
        </is>
      </c>
      <c r="F66" t="inlineStr">
        <is>
          <t>Kyrkan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47702-2024</t>
        </is>
      </c>
      <c r="B67" s="1" t="n">
        <v>45588.46540509259</v>
      </c>
      <c r="C67" s="1" t="n">
        <v>46138</v>
      </c>
      <c r="D67" t="inlineStr">
        <is>
          <t>VÄSTRA GÖTALANDS LÄN</t>
        </is>
      </c>
      <c r="E67" t="inlineStr">
        <is>
          <t>ÅMÅL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7086-2022</t>
        </is>
      </c>
      <c r="B68" s="1" t="n">
        <v>44603</v>
      </c>
      <c r="C68" s="1" t="n">
        <v>46138</v>
      </c>
      <c r="D68" t="inlineStr">
        <is>
          <t>VÄSTRA GÖTALANDS LÄN</t>
        </is>
      </c>
      <c r="E68" t="inlineStr">
        <is>
          <t>ÅMÅL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8176-2023</t>
        </is>
      </c>
      <c r="B69" s="1" t="n">
        <v>44974</v>
      </c>
      <c r="C69" s="1" t="n">
        <v>46138</v>
      </c>
      <c r="D69" t="inlineStr">
        <is>
          <t>VÄSTRA GÖTALANDS LÄN</t>
        </is>
      </c>
      <c r="E69" t="inlineStr">
        <is>
          <t>ÅMÅL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52384-2024</t>
        </is>
      </c>
      <c r="B70" s="1" t="n">
        <v>45609.41439814815</v>
      </c>
      <c r="C70" s="1" t="n">
        <v>46138</v>
      </c>
      <c r="D70" t="inlineStr">
        <is>
          <t>VÄSTRA GÖTALANDS LÄN</t>
        </is>
      </c>
      <c r="E70" t="inlineStr">
        <is>
          <t>ÅMÅL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51067-2022</t>
        </is>
      </c>
      <c r="B71" s="1" t="n">
        <v>44868.36377314815</v>
      </c>
      <c r="C71" s="1" t="n">
        <v>46138</v>
      </c>
      <c r="D71" t="inlineStr">
        <is>
          <t>VÄSTRA GÖTALANDS LÄN</t>
        </is>
      </c>
      <c r="E71" t="inlineStr">
        <is>
          <t>ÅMÅL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4976-2023</t>
        </is>
      </c>
      <c r="B72" s="1" t="n">
        <v>44958.45994212963</v>
      </c>
      <c r="C72" s="1" t="n">
        <v>46138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40493-2022</t>
        </is>
      </c>
      <c r="B73" s="1" t="n">
        <v>44819</v>
      </c>
      <c r="C73" s="1" t="n">
        <v>46138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55256-2024</t>
        </is>
      </c>
      <c r="B74" s="1" t="n">
        <v>45620</v>
      </c>
      <c r="C74" s="1" t="n">
        <v>46138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46138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47692-2024</t>
        </is>
      </c>
      <c r="B76" s="1" t="n">
        <v>45588.45613425926</v>
      </c>
      <c r="C76" s="1" t="n">
        <v>46138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45313-2023</t>
        </is>
      </c>
      <c r="B77" s="1" t="n">
        <v>45191.71241898148</v>
      </c>
      <c r="C77" s="1" t="n">
        <v>46138</v>
      </c>
      <c r="D77" t="inlineStr">
        <is>
          <t>VÄSTRA GÖTALANDS LÄN</t>
        </is>
      </c>
      <c r="E77" t="inlineStr">
        <is>
          <t>ÅMÅL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59998-2024</t>
        </is>
      </c>
      <c r="B78" s="1" t="n">
        <v>45642.40743055556</v>
      </c>
      <c r="C78" s="1" t="n">
        <v>46138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21106-2025</t>
        </is>
      </c>
      <c r="B79" s="1" t="n">
        <v>45777.67112268518</v>
      </c>
      <c r="C79" s="1" t="n">
        <v>46138</v>
      </c>
      <c r="D79" t="inlineStr">
        <is>
          <t>VÄSTRA GÖTALANDS LÄN</t>
        </is>
      </c>
      <c r="E79" t="inlineStr">
        <is>
          <t>ÅMÅL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25693-2025</t>
        </is>
      </c>
      <c r="B80" s="1" t="n">
        <v>45803.6643287037</v>
      </c>
      <c r="C80" s="1" t="n">
        <v>46138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46138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29598-2025</t>
        </is>
      </c>
      <c r="B82" s="1" t="n">
        <v>45825.40863425926</v>
      </c>
      <c r="C82" s="1" t="n">
        <v>46138</v>
      </c>
      <c r="D82" t="inlineStr">
        <is>
          <t>VÄSTRA GÖTALANDS LÄN</t>
        </is>
      </c>
      <c r="E82" t="inlineStr">
        <is>
          <t>ÅMÅL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38878-2025</t>
        </is>
      </c>
      <c r="B83" s="1" t="n">
        <v>45884</v>
      </c>
      <c r="C83" s="1" t="n">
        <v>46138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46138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46138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8535-2023</t>
        </is>
      </c>
      <c r="B86" s="1" t="n">
        <v>44977</v>
      </c>
      <c r="C86" s="1" t="n">
        <v>46138</v>
      </c>
      <c r="D86" t="inlineStr">
        <is>
          <t>VÄSTRA GÖTALANDS LÄN</t>
        </is>
      </c>
      <c r="E86" t="inlineStr">
        <is>
          <t>ÅMÅL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69487-2021</t>
        </is>
      </c>
      <c r="B87" s="1" t="n">
        <v>44531</v>
      </c>
      <c r="C87" s="1" t="n">
        <v>46138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27831-2023</t>
        </is>
      </c>
      <c r="B88" s="1" t="n">
        <v>45098</v>
      </c>
      <c r="C88" s="1" t="n">
        <v>46138</v>
      </c>
      <c r="D88" t="inlineStr">
        <is>
          <t>VÄSTRA GÖTALANDS LÄN</t>
        </is>
      </c>
      <c r="E88" t="inlineStr">
        <is>
          <t>ÅMÅL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32037-2023</t>
        </is>
      </c>
      <c r="B89" s="1" t="n">
        <v>45119.54206018519</v>
      </c>
      <c r="C89" s="1" t="n">
        <v>46138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46138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54176-2024</t>
        </is>
      </c>
      <c r="B91" s="1" t="n">
        <v>45616.63513888889</v>
      </c>
      <c r="C91" s="1" t="n">
        <v>46138</v>
      </c>
      <c r="D91" t="inlineStr">
        <is>
          <t>VÄSTRA GÖTALANDS LÄN</t>
        </is>
      </c>
      <c r="E91" t="inlineStr">
        <is>
          <t>ÅMÅL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46138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49090-2023</t>
        </is>
      </c>
      <c r="B93" s="1" t="n">
        <v>45204</v>
      </c>
      <c r="C93" s="1" t="n">
        <v>46138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11910-2023</t>
        </is>
      </c>
      <c r="B94" s="1" t="n">
        <v>44995</v>
      </c>
      <c r="C94" s="1" t="n">
        <v>46138</v>
      </c>
      <c r="D94" t="inlineStr">
        <is>
          <t>VÄSTRA GÖTALANDS LÄN</t>
        </is>
      </c>
      <c r="E94" t="inlineStr">
        <is>
          <t>ÅMÅL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46138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16359-2025</t>
        </is>
      </c>
      <c r="B96" s="1" t="n">
        <v>45751.38976851852</v>
      </c>
      <c r="C96" s="1" t="n">
        <v>46138</v>
      </c>
      <c r="D96" t="inlineStr">
        <is>
          <t>VÄSTRA GÖTALANDS LÄN</t>
        </is>
      </c>
      <c r="E96" t="inlineStr">
        <is>
          <t>ÅMÅL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57720-2023</t>
        </is>
      </c>
      <c r="B97" s="1" t="n">
        <v>45246</v>
      </c>
      <c r="C97" s="1" t="n">
        <v>46138</v>
      </c>
      <c r="D97" t="inlineStr">
        <is>
          <t>VÄSTRA GÖTALANDS LÄN</t>
        </is>
      </c>
      <c r="E97" t="inlineStr">
        <is>
          <t>ÅMÅL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48365-2023</t>
        </is>
      </c>
      <c r="B98" s="1" t="n">
        <v>45205</v>
      </c>
      <c r="C98" s="1" t="n">
        <v>46138</v>
      </c>
      <c r="D98" t="inlineStr">
        <is>
          <t>VÄSTRA GÖTALANDS LÄN</t>
        </is>
      </c>
      <c r="E98" t="inlineStr">
        <is>
          <t>ÅMÅL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56210-2022</t>
        </is>
      </c>
      <c r="B99" s="1" t="n">
        <v>44890.45704861111</v>
      </c>
      <c r="C99" s="1" t="n">
        <v>46138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39840-2021</t>
        </is>
      </c>
      <c r="B100" s="1" t="n">
        <v>44417</v>
      </c>
      <c r="C100" s="1" t="n">
        <v>46138</v>
      </c>
      <c r="D100" t="inlineStr">
        <is>
          <t>VÄSTRA GÖTALANDS LÄN</t>
        </is>
      </c>
      <c r="E100" t="inlineStr">
        <is>
          <t>ÅMÅL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335-2025</t>
        </is>
      </c>
      <c r="B101" s="1" t="n">
        <v>45660.67505787037</v>
      </c>
      <c r="C101" s="1" t="n">
        <v>46138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31337-2024</t>
        </is>
      </c>
      <c r="B102" s="1" t="n">
        <v>45504</v>
      </c>
      <c r="C102" s="1" t="n">
        <v>46138</v>
      </c>
      <c r="D102" t="inlineStr">
        <is>
          <t>VÄSTRA GÖTALANDS LÄN</t>
        </is>
      </c>
      <c r="E102" t="inlineStr">
        <is>
          <t>ÅMÅL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33221-2024</t>
        </is>
      </c>
      <c r="B103" s="1" t="n">
        <v>45518.55730324074</v>
      </c>
      <c r="C103" s="1" t="n">
        <v>46138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3570-2025</t>
        </is>
      </c>
      <c r="B104" s="1" t="n">
        <v>45680</v>
      </c>
      <c r="C104" s="1" t="n">
        <v>46138</v>
      </c>
      <c r="D104" t="inlineStr">
        <is>
          <t>VÄSTRA GÖTALANDS LÄN</t>
        </is>
      </c>
      <c r="E104" t="inlineStr">
        <is>
          <t>ÅMÅL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46753-2023</t>
        </is>
      </c>
      <c r="B105" s="1" t="n">
        <v>45198</v>
      </c>
      <c r="C105" s="1" t="n">
        <v>46138</v>
      </c>
      <c r="D105" t="inlineStr">
        <is>
          <t>VÄSTRA GÖTALANDS LÄN</t>
        </is>
      </c>
      <c r="E105" t="inlineStr">
        <is>
          <t>ÅMÅL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11916-2023</t>
        </is>
      </c>
      <c r="B106" s="1" t="n">
        <v>44995.46620370371</v>
      </c>
      <c r="C106" s="1" t="n">
        <v>46138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48426-2022</t>
        </is>
      </c>
      <c r="B107" s="1" t="n">
        <v>44858.6446412037</v>
      </c>
      <c r="C107" s="1" t="n">
        <v>46138</v>
      </c>
      <c r="D107" t="inlineStr">
        <is>
          <t>VÄSTRA GÖTALANDS LÄN</t>
        </is>
      </c>
      <c r="E107" t="inlineStr">
        <is>
          <t>ÅMÅL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10837-2024</t>
        </is>
      </c>
      <c r="B108" s="1" t="n">
        <v>45369.79299768519</v>
      </c>
      <c r="C108" s="1" t="n">
        <v>46138</v>
      </c>
      <c r="D108" t="inlineStr">
        <is>
          <t>VÄSTRA GÖTALANDS LÄN</t>
        </is>
      </c>
      <c r="E108" t="inlineStr">
        <is>
          <t>ÅMÅL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41814-2025</t>
        </is>
      </c>
      <c r="B109" s="1" t="n">
        <v>45902</v>
      </c>
      <c r="C109" s="1" t="n">
        <v>46138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21024-2025</t>
        </is>
      </c>
      <c r="B110" s="1" t="n">
        <v>45777.51334490741</v>
      </c>
      <c r="C110" s="1" t="n">
        <v>46138</v>
      </c>
      <c r="D110" t="inlineStr">
        <is>
          <t>VÄSTRA GÖTALANDS LÄN</t>
        </is>
      </c>
      <c r="E110" t="inlineStr">
        <is>
          <t>ÅMÅL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4696-2024</t>
        </is>
      </c>
      <c r="B111" s="1" t="n">
        <v>45328</v>
      </c>
      <c r="C111" s="1" t="n">
        <v>46138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57957-2023</t>
        </is>
      </c>
      <c r="B112" s="1" t="n">
        <v>45247</v>
      </c>
      <c r="C112" s="1" t="n">
        <v>46138</v>
      </c>
      <c r="D112" t="inlineStr">
        <is>
          <t>VÄSTRA GÖTALANDS LÄN</t>
        </is>
      </c>
      <c r="E112" t="inlineStr">
        <is>
          <t>ÅMÅL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21028-2025</t>
        </is>
      </c>
      <c r="B113" s="1" t="n">
        <v>45777.52100694444</v>
      </c>
      <c r="C113" s="1" t="n">
        <v>46138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21032-2025</t>
        </is>
      </c>
      <c r="B114" s="1" t="n">
        <v>45777.52616898148</v>
      </c>
      <c r="C114" s="1" t="n">
        <v>46138</v>
      </c>
      <c r="D114" t="inlineStr">
        <is>
          <t>VÄSTRA GÖTALANDS LÄN</t>
        </is>
      </c>
      <c r="E114" t="inlineStr">
        <is>
          <t>ÅMÅL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40161-2021</t>
        </is>
      </c>
      <c r="B115" s="1" t="n">
        <v>44418</v>
      </c>
      <c r="C115" s="1" t="n">
        <v>46138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70328-2021</t>
        </is>
      </c>
      <c r="B116" s="1" t="n">
        <v>44536.46303240741</v>
      </c>
      <c r="C116" s="1" t="n">
        <v>46138</v>
      </c>
      <c r="D116" t="inlineStr">
        <is>
          <t>VÄSTRA GÖTALANDS LÄN</t>
        </is>
      </c>
      <c r="E116" t="inlineStr">
        <is>
          <t>ÅMÅL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21137-2025</t>
        </is>
      </c>
      <c r="B117" s="1" t="n">
        <v>45778.63582175926</v>
      </c>
      <c r="C117" s="1" t="n">
        <v>46138</v>
      </c>
      <c r="D117" t="inlineStr">
        <is>
          <t>VÄSTRA GÖTALANDS LÄN</t>
        </is>
      </c>
      <c r="E117" t="inlineStr">
        <is>
          <t>ÅMÅL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8307-2024</t>
        </is>
      </c>
      <c r="B118" s="1" t="n">
        <v>45350</v>
      </c>
      <c r="C118" s="1" t="n">
        <v>46138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2199-2024</t>
        </is>
      </c>
      <c r="B119" s="1" t="n">
        <v>45309</v>
      </c>
      <c r="C119" s="1" t="n">
        <v>46138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40278-2024</t>
        </is>
      </c>
      <c r="B120" s="1" t="n">
        <v>45554.65760416666</v>
      </c>
      <c r="C120" s="1" t="n">
        <v>46138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57296-2024</t>
        </is>
      </c>
      <c r="B121" s="1" t="n">
        <v>45629.59741898148</v>
      </c>
      <c r="C121" s="1" t="n">
        <v>46138</v>
      </c>
      <c r="D121" t="inlineStr">
        <is>
          <t>VÄSTRA GÖTALANDS LÄN</t>
        </is>
      </c>
      <c r="E121" t="inlineStr">
        <is>
          <t>ÅMÅL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42098-2025</t>
        </is>
      </c>
      <c r="B122" s="1" t="n">
        <v>45903.75858796296</v>
      </c>
      <c r="C122" s="1" t="n">
        <v>46138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34112-2023</t>
        </is>
      </c>
      <c r="B123" s="1" t="n">
        <v>45126</v>
      </c>
      <c r="C123" s="1" t="n">
        <v>46138</v>
      </c>
      <c r="D123" t="inlineStr">
        <is>
          <t>VÄSTRA GÖTALANDS LÄN</t>
        </is>
      </c>
      <c r="E123" t="inlineStr">
        <is>
          <t>ÅMÅL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57305-2024</t>
        </is>
      </c>
      <c r="B124" s="1" t="n">
        <v>45629.60421296296</v>
      </c>
      <c r="C124" s="1" t="n">
        <v>46138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10800-2024</t>
        </is>
      </c>
      <c r="B125" s="1" t="n">
        <v>45369.62201388889</v>
      </c>
      <c r="C125" s="1" t="n">
        <v>46138</v>
      </c>
      <c r="D125" t="inlineStr">
        <is>
          <t>VÄSTRA GÖTALANDS LÄN</t>
        </is>
      </c>
      <c r="E125" t="inlineStr">
        <is>
          <t>ÅMÅL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22157-2021</t>
        </is>
      </c>
      <c r="B126" s="1" t="n">
        <v>44325</v>
      </c>
      <c r="C126" s="1" t="n">
        <v>46138</v>
      </c>
      <c r="D126" t="inlineStr">
        <is>
          <t>VÄSTRA GÖTALANDS LÄN</t>
        </is>
      </c>
      <c r="E126" t="inlineStr">
        <is>
          <t>ÅMÅL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61092-2021</t>
        </is>
      </c>
      <c r="B127" s="1" t="n">
        <v>44498</v>
      </c>
      <c r="C127" s="1" t="n">
        <v>46138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43113-2024</t>
        </is>
      </c>
      <c r="B128" s="1" t="n">
        <v>45567</v>
      </c>
      <c r="C128" s="1" t="n">
        <v>46138</v>
      </c>
      <c r="D128" t="inlineStr">
        <is>
          <t>VÄSTRA GÖTALANDS LÄN</t>
        </is>
      </c>
      <c r="E128" t="inlineStr">
        <is>
          <t>ÅMÅL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43343-2025</t>
        </is>
      </c>
      <c r="B129" s="1" t="n">
        <v>45910.76835648148</v>
      </c>
      <c r="C129" s="1" t="n">
        <v>46138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29995-2023</t>
        </is>
      </c>
      <c r="B130" s="1" t="n">
        <v>45109.62675925926</v>
      </c>
      <c r="C130" s="1" t="n">
        <v>46138</v>
      </c>
      <c r="D130" t="inlineStr">
        <is>
          <t>VÄSTRA GÖTALANDS LÄN</t>
        </is>
      </c>
      <c r="E130" t="inlineStr">
        <is>
          <t>ÅMÅL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44046-2025</t>
        </is>
      </c>
      <c r="B131" s="1" t="n">
        <v>45915.49810185185</v>
      </c>
      <c r="C131" s="1" t="n">
        <v>46138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333-2025</t>
        </is>
      </c>
      <c r="B132" s="1" t="n">
        <v>45659</v>
      </c>
      <c r="C132" s="1" t="n">
        <v>46138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42026-2025</t>
        </is>
      </c>
      <c r="B133" s="1" t="n">
        <v>45903</v>
      </c>
      <c r="C133" s="1" t="n">
        <v>46138</v>
      </c>
      <c r="D133" t="inlineStr">
        <is>
          <t>VÄSTRA GÖTALANDS LÄN</t>
        </is>
      </c>
      <c r="E133" t="inlineStr">
        <is>
          <t>ÅMÅL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43833-2025</t>
        </is>
      </c>
      <c r="B134" s="1" t="n">
        <v>45912.63038194444</v>
      </c>
      <c r="C134" s="1" t="n">
        <v>46138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9852-2025</t>
        </is>
      </c>
      <c r="B135" s="1" t="n">
        <v>45716</v>
      </c>
      <c r="C135" s="1" t="n">
        <v>46138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28813-2025</t>
        </is>
      </c>
      <c r="B136" s="1" t="n">
        <v>45820</v>
      </c>
      <c r="C136" s="1" t="n">
        <v>46138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19127-2025</t>
        </is>
      </c>
      <c r="B137" s="1" t="n">
        <v>45768.92784722222</v>
      </c>
      <c r="C137" s="1" t="n">
        <v>46138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23226-2025</t>
        </is>
      </c>
      <c r="B138" s="1" t="n">
        <v>45791.48756944444</v>
      </c>
      <c r="C138" s="1" t="n">
        <v>46138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23240-2025</t>
        </is>
      </c>
      <c r="B139" s="1" t="n">
        <v>45791.49888888889</v>
      </c>
      <c r="C139" s="1" t="n">
        <v>46138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23133-2025</t>
        </is>
      </c>
      <c r="B140" s="1" t="n">
        <v>45791.38806712963</v>
      </c>
      <c r="C140" s="1" t="n">
        <v>46138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39534-2024</t>
        </is>
      </c>
      <c r="B141" s="1" t="n">
        <v>45551</v>
      </c>
      <c r="C141" s="1" t="n">
        <v>46138</v>
      </c>
      <c r="D141" t="inlineStr">
        <is>
          <t>VÄSTRA GÖTALANDS LÄN</t>
        </is>
      </c>
      <c r="E141" t="inlineStr">
        <is>
          <t>ÅMÅL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57710-2022</t>
        </is>
      </c>
      <c r="B142" s="1" t="n">
        <v>44897.5384375</v>
      </c>
      <c r="C142" s="1" t="n">
        <v>46138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23215-2025</t>
        </is>
      </c>
      <c r="B143" s="1" t="n">
        <v>45791.47444444444</v>
      </c>
      <c r="C143" s="1" t="n">
        <v>46138</v>
      </c>
      <c r="D143" t="inlineStr">
        <is>
          <t>VÄSTRA GÖTALANDS LÄN</t>
        </is>
      </c>
      <c r="E143" t="inlineStr">
        <is>
          <t>ÅMÅL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14904-2025</t>
        </is>
      </c>
      <c r="B144" s="1" t="n">
        <v>45743.49012731481</v>
      </c>
      <c r="C144" s="1" t="n">
        <v>46138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45019-2025</t>
        </is>
      </c>
      <c r="B145" s="1" t="n">
        <v>45918.67821759259</v>
      </c>
      <c r="C145" s="1" t="n">
        <v>46138</v>
      </c>
      <c r="D145" t="inlineStr">
        <is>
          <t>VÄSTRA GÖTALANDS LÄN</t>
        </is>
      </c>
      <c r="E145" t="inlineStr">
        <is>
          <t>ÅMÅL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705-2024</t>
        </is>
      </c>
      <c r="B146" s="1" t="n">
        <v>45300</v>
      </c>
      <c r="C146" s="1" t="n">
        <v>46138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23125-2025</t>
        </is>
      </c>
      <c r="B147" s="1" t="n">
        <v>45791.38410879629</v>
      </c>
      <c r="C147" s="1" t="n">
        <v>46138</v>
      </c>
      <c r="D147" t="inlineStr">
        <is>
          <t>VÄSTRA GÖTALANDS LÄN</t>
        </is>
      </c>
      <c r="E147" t="inlineStr">
        <is>
          <t>ÅMÅL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9123-2025</t>
        </is>
      </c>
      <c r="B148" s="1" t="n">
        <v>45713.87643518519</v>
      </c>
      <c r="C148" s="1" t="n">
        <v>46138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8470-2025</t>
        </is>
      </c>
      <c r="B149" s="1" t="n">
        <v>45709</v>
      </c>
      <c r="C149" s="1" t="n">
        <v>46138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56357-2024</t>
        </is>
      </c>
      <c r="B150" s="1" t="n">
        <v>45624.96618055556</v>
      </c>
      <c r="C150" s="1" t="n">
        <v>46138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61814-2022</t>
        </is>
      </c>
      <c r="B151" s="1" t="n">
        <v>44917.57796296296</v>
      </c>
      <c r="C151" s="1" t="n">
        <v>46138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23780-2025</t>
        </is>
      </c>
      <c r="B152" s="1" t="n">
        <v>45793.50979166666</v>
      </c>
      <c r="C152" s="1" t="n">
        <v>46138</v>
      </c>
      <c r="D152" t="inlineStr">
        <is>
          <t>VÄSTRA GÖTALANDS LÄN</t>
        </is>
      </c>
      <c r="E152" t="inlineStr">
        <is>
          <t>ÅMÅL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46138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46312-2025</t>
        </is>
      </c>
      <c r="B154" s="1" t="n">
        <v>45925</v>
      </c>
      <c r="C154" s="1" t="n">
        <v>46138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2440-2025</t>
        </is>
      </c>
      <c r="B155" s="1" t="n">
        <v>45674.41945601852</v>
      </c>
      <c r="C155" s="1" t="n">
        <v>46138</v>
      </c>
      <c r="D155" t="inlineStr">
        <is>
          <t>VÄSTRA GÖTALANDS LÄN</t>
        </is>
      </c>
      <c r="E155" t="inlineStr">
        <is>
          <t>ÅMÅL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46138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46138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30573-2023</t>
        </is>
      </c>
      <c r="B158" s="1" t="n">
        <v>45111.96506944444</v>
      </c>
      <c r="C158" s="1" t="n">
        <v>46138</v>
      </c>
      <c r="D158" t="inlineStr">
        <is>
          <t>VÄSTRA GÖTALANDS LÄN</t>
        </is>
      </c>
      <c r="E158" t="inlineStr">
        <is>
          <t>ÅMÅL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55660-2021</t>
        </is>
      </c>
      <c r="B159" s="1" t="n">
        <v>44476</v>
      </c>
      <c r="C159" s="1" t="n">
        <v>46138</v>
      </c>
      <c r="D159" t="inlineStr">
        <is>
          <t>VÄSTRA GÖTALANDS LÄN</t>
        </is>
      </c>
      <c r="E159" t="inlineStr">
        <is>
          <t>ÅMÅL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15691-2024</t>
        </is>
      </c>
      <c r="B160" s="1" t="n">
        <v>45404.45090277777</v>
      </c>
      <c r="C160" s="1" t="n">
        <v>46138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3571-2025</t>
        </is>
      </c>
      <c r="B161" s="1" t="n">
        <v>45680</v>
      </c>
      <c r="C161" s="1" t="n">
        <v>46138</v>
      </c>
      <c r="D161" t="inlineStr">
        <is>
          <t>VÄSTRA GÖTALANDS LÄN</t>
        </is>
      </c>
      <c r="E161" t="inlineStr">
        <is>
          <t>ÅMÅL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23670-2025</t>
        </is>
      </c>
      <c r="B162" s="1" t="n">
        <v>45792.94814814815</v>
      </c>
      <c r="C162" s="1" t="n">
        <v>46138</v>
      </c>
      <c r="D162" t="inlineStr">
        <is>
          <t>VÄSTRA GÖTALANDS LÄN</t>
        </is>
      </c>
      <c r="E162" t="inlineStr">
        <is>
          <t>ÅMÅL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28880-2022</t>
        </is>
      </c>
      <c r="B163" s="1" t="n">
        <v>44749</v>
      </c>
      <c r="C163" s="1" t="n">
        <v>46138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48041-2025</t>
        </is>
      </c>
      <c r="B164" s="1" t="n">
        <v>45932</v>
      </c>
      <c r="C164" s="1" t="n">
        <v>46138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48085-2025</t>
        </is>
      </c>
      <c r="B165" s="1" t="n">
        <v>45932</v>
      </c>
      <c r="C165" s="1" t="n">
        <v>46138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25751-2025</t>
        </is>
      </c>
      <c r="B166" s="1" t="n">
        <v>45800</v>
      </c>
      <c r="C166" s="1" t="n">
        <v>46138</v>
      </c>
      <c r="D166" t="inlineStr">
        <is>
          <t>VÄSTRA GÖTALANDS LÄN</t>
        </is>
      </c>
      <c r="E166" t="inlineStr">
        <is>
          <t>ÅMÅL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48084-2025</t>
        </is>
      </c>
      <c r="B167" s="1" t="n">
        <v>45932</v>
      </c>
      <c r="C167" s="1" t="n">
        <v>46138</v>
      </c>
      <c r="D167" t="inlineStr">
        <is>
          <t>VÄSTRA GÖTALANDS LÄN</t>
        </is>
      </c>
      <c r="E167" t="inlineStr">
        <is>
          <t>ÅMÅL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48086-2025</t>
        </is>
      </c>
      <c r="B168" s="1" t="n">
        <v>45932</v>
      </c>
      <c r="C168" s="1" t="n">
        <v>46138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25748-2025</t>
        </is>
      </c>
      <c r="B169" s="1" t="n">
        <v>45800</v>
      </c>
      <c r="C169" s="1" t="n">
        <v>46138</v>
      </c>
      <c r="D169" t="inlineStr">
        <is>
          <t>VÄSTRA GÖTALANDS LÄN</t>
        </is>
      </c>
      <c r="E169" t="inlineStr">
        <is>
          <t>ÅMÅL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49373-2025</t>
        </is>
      </c>
      <c r="B170" s="1" t="n">
        <v>45938.63424768519</v>
      </c>
      <c r="C170" s="1" t="n">
        <v>46138</v>
      </c>
      <c r="D170" t="inlineStr">
        <is>
          <t>VÄSTRA GÖTALANDS LÄN</t>
        </is>
      </c>
      <c r="E170" t="inlineStr">
        <is>
          <t>ÅMÅL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25815-2025</t>
        </is>
      </c>
      <c r="B171" s="1" t="n">
        <v>45804.42990740741</v>
      </c>
      <c r="C171" s="1" t="n">
        <v>46138</v>
      </c>
      <c r="D171" t="inlineStr">
        <is>
          <t>VÄSTRA GÖTALANDS LÄN</t>
        </is>
      </c>
      <c r="E171" t="inlineStr">
        <is>
          <t>ÅMÅL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25818-2025</t>
        </is>
      </c>
      <c r="B172" s="1" t="n">
        <v>45804.43519675926</v>
      </c>
      <c r="C172" s="1" t="n">
        <v>46138</v>
      </c>
      <c r="D172" t="inlineStr">
        <is>
          <t>VÄSTRA GÖTALANDS LÄN</t>
        </is>
      </c>
      <c r="E172" t="inlineStr">
        <is>
          <t>ÅMÅL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25822-2025</t>
        </is>
      </c>
      <c r="B173" s="1" t="n">
        <v>45804.43789351852</v>
      </c>
      <c r="C173" s="1" t="n">
        <v>46138</v>
      </c>
      <c r="D173" t="inlineStr">
        <is>
          <t>VÄSTRA GÖTALANDS LÄN</t>
        </is>
      </c>
      <c r="E173" t="inlineStr">
        <is>
          <t>ÅMÅL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25817-2025</t>
        </is>
      </c>
      <c r="B174" s="1" t="n">
        <v>45804.4325462963</v>
      </c>
      <c r="C174" s="1" t="n">
        <v>46138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8092-2025</t>
        </is>
      </c>
      <c r="B175" s="1" t="n">
        <v>45707.67640046297</v>
      </c>
      <c r="C175" s="1" t="n">
        <v>46138</v>
      </c>
      <c r="D175" t="inlineStr">
        <is>
          <t>VÄSTRA GÖTALANDS LÄN</t>
        </is>
      </c>
      <c r="E175" t="inlineStr">
        <is>
          <t>ÅMÅL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8089-2025</t>
        </is>
      </c>
      <c r="B176" s="1" t="n">
        <v>45707.67461805556</v>
      </c>
      <c r="C176" s="1" t="n">
        <v>46138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47026-2024</t>
        </is>
      </c>
      <c r="B177" s="1" t="n">
        <v>45586.41668981482</v>
      </c>
      <c r="C177" s="1" t="n">
        <v>46138</v>
      </c>
      <c r="D177" t="inlineStr">
        <is>
          <t>VÄSTRA GÖTALANDS LÄN</t>
        </is>
      </c>
      <c r="E177" t="inlineStr">
        <is>
          <t>ÅMÅL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49500-2025</t>
        </is>
      </c>
      <c r="B178" s="1" t="n">
        <v>45939</v>
      </c>
      <c r="C178" s="1" t="n">
        <v>46138</v>
      </c>
      <c r="D178" t="inlineStr">
        <is>
          <t>VÄSTRA GÖTALANDS LÄN</t>
        </is>
      </c>
      <c r="E178" t="inlineStr">
        <is>
          <t>ÅMÅL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26911-2025</t>
        </is>
      </c>
      <c r="B179" s="1" t="n">
        <v>45811.35607638889</v>
      </c>
      <c r="C179" s="1" t="n">
        <v>46138</v>
      </c>
      <c r="D179" t="inlineStr">
        <is>
          <t>VÄSTRA GÖTALANDS LÄN</t>
        </is>
      </c>
      <c r="E179" t="inlineStr">
        <is>
          <t>ÅMÅL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26912-2025</t>
        </is>
      </c>
      <c r="B180" s="1" t="n">
        <v>45811.35936342592</v>
      </c>
      <c r="C180" s="1" t="n">
        <v>46138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46518-2024</t>
        </is>
      </c>
      <c r="B181" s="1" t="n">
        <v>45582.62869212963</v>
      </c>
      <c r="C181" s="1" t="n">
        <v>46138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26914-2025</t>
        </is>
      </c>
      <c r="B182" s="1" t="n">
        <v>45811.36456018518</v>
      </c>
      <c r="C182" s="1" t="n">
        <v>46138</v>
      </c>
      <c r="D182" t="inlineStr">
        <is>
          <t>VÄSTRA GÖTALANDS LÄN</t>
        </is>
      </c>
      <c r="E182" t="inlineStr">
        <is>
          <t>ÅMÅL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50515-2025</t>
        </is>
      </c>
      <c r="B183" s="1" t="n">
        <v>45945.45089120371</v>
      </c>
      <c r="C183" s="1" t="n">
        <v>46138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23186-2024</t>
        </is>
      </c>
      <c r="B184" s="1" t="n">
        <v>45450</v>
      </c>
      <c r="C184" s="1" t="n">
        <v>46138</v>
      </c>
      <c r="D184" t="inlineStr">
        <is>
          <t>VÄSTRA GÖTALANDS LÄN</t>
        </is>
      </c>
      <c r="E184" t="inlineStr">
        <is>
          <t>ÅMÅL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46138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46138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28647-2025</t>
        </is>
      </c>
      <c r="B187" s="1" t="n">
        <v>45819</v>
      </c>
      <c r="C187" s="1" t="n">
        <v>46138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28786-2025</t>
        </is>
      </c>
      <c r="B188" s="1" t="n">
        <v>45820.46232638889</v>
      </c>
      <c r="C188" s="1" t="n">
        <v>46138</v>
      </c>
      <c r="D188" t="inlineStr">
        <is>
          <t>VÄSTRA GÖTALANDS LÄN</t>
        </is>
      </c>
      <c r="E188" t="inlineStr">
        <is>
          <t>ÅMÅL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29509-2025</t>
        </is>
      </c>
      <c r="B189" s="1" t="n">
        <v>45825.30631944445</v>
      </c>
      <c r="C189" s="1" t="n">
        <v>46138</v>
      </c>
      <c r="D189" t="inlineStr">
        <is>
          <t>VÄSTRA GÖTALANDS LÄN</t>
        </is>
      </c>
      <c r="E189" t="inlineStr">
        <is>
          <t>ÅMÅL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49480-2025</t>
        </is>
      </c>
      <c r="B190" s="1" t="n">
        <v>45939</v>
      </c>
      <c r="C190" s="1" t="n">
        <v>46138</v>
      </c>
      <c r="D190" t="inlineStr">
        <is>
          <t>VÄSTRA GÖTALANDS LÄN</t>
        </is>
      </c>
      <c r="E190" t="inlineStr">
        <is>
          <t>ÅMÅL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52216-2025</t>
        </is>
      </c>
      <c r="B191" s="1" t="n">
        <v>45953.42795138889</v>
      </c>
      <c r="C191" s="1" t="n">
        <v>46138</v>
      </c>
      <c r="D191" t="inlineStr">
        <is>
          <t>VÄSTRA GÖTALANDS LÄN</t>
        </is>
      </c>
      <c r="E191" t="inlineStr">
        <is>
          <t>ÅMÅL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29428-2025</t>
        </is>
      </c>
      <c r="B192" s="1" t="n">
        <v>45824</v>
      </c>
      <c r="C192" s="1" t="n">
        <v>46138</v>
      </c>
      <c r="D192" t="inlineStr">
        <is>
          <t>VÄSTRA GÖTALANDS LÄN</t>
        </is>
      </c>
      <c r="E192" t="inlineStr">
        <is>
          <t>ÅMÅL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51980-2025</t>
        </is>
      </c>
      <c r="B193" s="1" t="n">
        <v>45952.57109953704</v>
      </c>
      <c r="C193" s="1" t="n">
        <v>46138</v>
      </c>
      <c r="D193" t="inlineStr">
        <is>
          <t>VÄSTRA GÖTALANDS LÄN</t>
        </is>
      </c>
      <c r="E193" t="inlineStr">
        <is>
          <t>ÅMÅL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49483-2025</t>
        </is>
      </c>
      <c r="B194" s="1" t="n">
        <v>45939</v>
      </c>
      <c r="C194" s="1" t="n">
        <v>46138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20141-2023</t>
        </is>
      </c>
      <c r="B195" s="1" t="n">
        <v>45055.43131944445</v>
      </c>
      <c r="C195" s="1" t="n">
        <v>46138</v>
      </c>
      <c r="D195" t="inlineStr">
        <is>
          <t>VÄSTRA GÖTALANDS LÄN</t>
        </is>
      </c>
      <c r="E195" t="inlineStr">
        <is>
          <t>ÅMÅL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29979-2025</t>
        </is>
      </c>
      <c r="B196" s="1" t="n">
        <v>45826</v>
      </c>
      <c r="C196" s="1" t="n">
        <v>46138</v>
      </c>
      <c r="D196" t="inlineStr">
        <is>
          <t>VÄSTRA GÖTALANDS LÄN</t>
        </is>
      </c>
      <c r="E196" t="inlineStr">
        <is>
          <t>ÅMÅL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30054-2025</t>
        </is>
      </c>
      <c r="B197" s="1" t="n">
        <v>45826.60033564815</v>
      </c>
      <c r="C197" s="1" t="n">
        <v>46138</v>
      </c>
      <c r="D197" t="inlineStr">
        <is>
          <t>VÄSTRA GÖTALANDS LÄN</t>
        </is>
      </c>
      <c r="E197" t="inlineStr">
        <is>
          <t>ÅMÅL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29987-2025</t>
        </is>
      </c>
      <c r="B198" s="1" t="n">
        <v>45826</v>
      </c>
      <c r="C198" s="1" t="n">
        <v>46138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53536-2025</t>
        </is>
      </c>
      <c r="B199" s="1" t="n">
        <v>45960.37158564815</v>
      </c>
      <c r="C199" s="1" t="n">
        <v>46138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64859-2023</t>
        </is>
      </c>
      <c r="B200" s="1" t="n">
        <v>45280</v>
      </c>
      <c r="C200" s="1" t="n">
        <v>46138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5545-2025</t>
        </is>
      </c>
      <c r="B201" s="1" t="n">
        <v>45693.46712962963</v>
      </c>
      <c r="C201" s="1" t="n">
        <v>46138</v>
      </c>
      <c r="D201" t="inlineStr">
        <is>
          <t>VÄSTRA GÖTALANDS LÄN</t>
        </is>
      </c>
      <c r="E201" t="inlineStr">
        <is>
          <t>ÅMÅL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55119-2025</t>
        </is>
      </c>
      <c r="B202" s="1" t="n">
        <v>45967</v>
      </c>
      <c r="C202" s="1" t="n">
        <v>46138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32918-2025</t>
        </is>
      </c>
      <c r="B203" s="1" t="n">
        <v>45839.64229166666</v>
      </c>
      <c r="C203" s="1" t="n">
        <v>46138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50428-2022</t>
        </is>
      </c>
      <c r="B204" s="1" t="n">
        <v>44866</v>
      </c>
      <c r="C204" s="1" t="n">
        <v>46138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32719-2024</t>
        </is>
      </c>
      <c r="B205" s="1" t="n">
        <v>45514</v>
      </c>
      <c r="C205" s="1" t="n">
        <v>46138</v>
      </c>
      <c r="D205" t="inlineStr">
        <is>
          <t>VÄSTRA GÖTALANDS LÄN</t>
        </is>
      </c>
      <c r="E205" t="inlineStr">
        <is>
          <t>ÅMÅL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35779-2024</t>
        </is>
      </c>
      <c r="B206" s="1" t="n">
        <v>45532.60379629629</v>
      </c>
      <c r="C206" s="1" t="n">
        <v>46138</v>
      </c>
      <c r="D206" t="inlineStr">
        <is>
          <t>VÄSTRA GÖTALANDS LÄN</t>
        </is>
      </c>
      <c r="E206" t="inlineStr">
        <is>
          <t>ÅMÅL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28862-2022</t>
        </is>
      </c>
      <c r="B207" s="1" t="n">
        <v>44749.50611111111</v>
      </c>
      <c r="C207" s="1" t="n">
        <v>46138</v>
      </c>
      <c r="D207" t="inlineStr">
        <is>
          <t>VÄSTRA GÖTALANDS LÄN</t>
        </is>
      </c>
      <c r="E207" t="inlineStr">
        <is>
          <t>ÅMÅL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34211-2025</t>
        </is>
      </c>
      <c r="B208" s="1" t="n">
        <v>45845.6409375</v>
      </c>
      <c r="C208" s="1" t="n">
        <v>46138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34218-2025</t>
        </is>
      </c>
      <c r="B209" s="1" t="n">
        <v>45845.6490162037</v>
      </c>
      <c r="C209" s="1" t="n">
        <v>46138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32887-2023</t>
        </is>
      </c>
      <c r="B210" s="1" t="n">
        <v>45112</v>
      </c>
      <c r="C210" s="1" t="n">
        <v>46138</v>
      </c>
      <c r="D210" t="inlineStr">
        <is>
          <t>VÄSTRA GÖTALANDS LÄN</t>
        </is>
      </c>
      <c r="E210" t="inlineStr">
        <is>
          <t>ÅMÅL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32889-2023</t>
        </is>
      </c>
      <c r="B211" s="1" t="n">
        <v>45112</v>
      </c>
      <c r="C211" s="1" t="n">
        <v>46138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57096-2025</t>
        </is>
      </c>
      <c r="B212" s="1" t="n">
        <v>45979.43319444444</v>
      </c>
      <c r="C212" s="1" t="n">
        <v>46138</v>
      </c>
      <c r="D212" t="inlineStr">
        <is>
          <t>VÄSTRA GÖTALANDS LÄN</t>
        </is>
      </c>
      <c r="E212" t="inlineStr">
        <is>
          <t>ÅMÅL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57088-2025</t>
        </is>
      </c>
      <c r="B213" s="1" t="n">
        <v>45979.42400462963</v>
      </c>
      <c r="C213" s="1" t="n">
        <v>46138</v>
      </c>
      <c r="D213" t="inlineStr">
        <is>
          <t>VÄSTRA GÖTALANDS LÄN</t>
        </is>
      </c>
      <c r="E213" t="inlineStr">
        <is>
          <t>ÅMÅL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24424-2023</t>
        </is>
      </c>
      <c r="B214" s="1" t="n">
        <v>45082.480625</v>
      </c>
      <c r="C214" s="1" t="n">
        <v>46138</v>
      </c>
      <c r="D214" t="inlineStr">
        <is>
          <t>VÄSTRA GÖTALANDS LÄN</t>
        </is>
      </c>
      <c r="E214" t="inlineStr">
        <is>
          <t>ÅMÅL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27853-2023</t>
        </is>
      </c>
      <c r="B215" s="1" t="n">
        <v>45098.5687962963</v>
      </c>
      <c r="C215" s="1" t="n">
        <v>46138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9259-2024</t>
        </is>
      </c>
      <c r="B216" s="1" t="n">
        <v>45358.6052662037</v>
      </c>
      <c r="C216" s="1" t="n">
        <v>46138</v>
      </c>
      <c r="D216" t="inlineStr">
        <is>
          <t>VÄSTRA GÖTALANDS LÄN</t>
        </is>
      </c>
      <c r="E216" t="inlineStr">
        <is>
          <t>ÅMÅL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58707-2025</t>
        </is>
      </c>
      <c r="B217" s="1" t="n">
        <v>45986.60277777778</v>
      </c>
      <c r="C217" s="1" t="n">
        <v>46138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58628-2025</t>
        </is>
      </c>
      <c r="B218" s="1" t="n">
        <v>45986.48127314815</v>
      </c>
      <c r="C218" s="1" t="n">
        <v>46138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62705-2023</t>
        </is>
      </c>
      <c r="B219" s="1" t="n">
        <v>45271</v>
      </c>
      <c r="C219" s="1" t="n">
        <v>46138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21425-2025</t>
        </is>
      </c>
      <c r="B220" s="1" t="n">
        <v>45782.50599537037</v>
      </c>
      <c r="C220" s="1" t="n">
        <v>46138</v>
      </c>
      <c r="D220" t="inlineStr">
        <is>
          <t>VÄSTRA GÖTALANDS LÄN</t>
        </is>
      </c>
      <c r="E220" t="inlineStr">
        <is>
          <t>ÅMÅL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31001-2024</t>
        </is>
      </c>
      <c r="B221" s="1" t="n">
        <v>45499</v>
      </c>
      <c r="C221" s="1" t="n">
        <v>46138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59328-2025</t>
        </is>
      </c>
      <c r="B222" s="1" t="n">
        <v>45988</v>
      </c>
      <c r="C222" s="1" t="n">
        <v>46138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1282-2024</t>
        </is>
      </c>
      <c r="B223" s="1" t="n">
        <v>45303.02372685185</v>
      </c>
      <c r="C223" s="1" t="n">
        <v>46138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15463-2023</t>
        </is>
      </c>
      <c r="B224" s="1" t="n">
        <v>45019</v>
      </c>
      <c r="C224" s="1" t="n">
        <v>46138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11916-2024</t>
        </is>
      </c>
      <c r="B225" s="1" t="n">
        <v>45376</v>
      </c>
      <c r="C225" s="1" t="n">
        <v>46138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36671-2025</t>
        </is>
      </c>
      <c r="B226" s="1" t="n">
        <v>45873.38961805555</v>
      </c>
      <c r="C226" s="1" t="n">
        <v>46138</v>
      </c>
      <c r="D226" t="inlineStr">
        <is>
          <t>VÄSTRA GÖTALANDS LÄN</t>
        </is>
      </c>
      <c r="E226" t="inlineStr">
        <is>
          <t>ÅMÅL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40251-2024</t>
        </is>
      </c>
      <c r="B227" s="1" t="n">
        <v>45554.61689814815</v>
      </c>
      <c r="C227" s="1" t="n">
        <v>46138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57193-2023</t>
        </is>
      </c>
      <c r="B228" s="1" t="n">
        <v>45239</v>
      </c>
      <c r="C228" s="1" t="n">
        <v>46138</v>
      </c>
      <c r="D228" t="inlineStr">
        <is>
          <t>VÄSTRA GÖTALANDS LÄN</t>
        </is>
      </c>
      <c r="E228" t="inlineStr">
        <is>
          <t>ÅMÅL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61122-2025</t>
        </is>
      </c>
      <c r="B229" s="1" t="n">
        <v>46000.46776620371</v>
      </c>
      <c r="C229" s="1" t="n">
        <v>46138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62481-2025</t>
        </is>
      </c>
      <c r="B230" s="1" t="n">
        <v>46007</v>
      </c>
      <c r="C230" s="1" t="n">
        <v>46138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62339-2025</t>
        </is>
      </c>
      <c r="B231" s="1" t="n">
        <v>46006</v>
      </c>
      <c r="C231" s="1" t="n">
        <v>46138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62440-2025</t>
        </is>
      </c>
      <c r="B232" s="1" t="n">
        <v>46007.47361111111</v>
      </c>
      <c r="C232" s="1" t="n">
        <v>46138</v>
      </c>
      <c r="D232" t="inlineStr">
        <is>
          <t>VÄSTRA GÖTALANDS LÄN</t>
        </is>
      </c>
      <c r="E232" t="inlineStr">
        <is>
          <t>ÅMÅL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34525-2023</t>
        </is>
      </c>
      <c r="B233" s="1" t="n">
        <v>45140.41236111111</v>
      </c>
      <c r="C233" s="1" t="n">
        <v>46138</v>
      </c>
      <c r="D233" t="inlineStr">
        <is>
          <t>VÄSTRA GÖTALANDS LÄN</t>
        </is>
      </c>
      <c r="E233" t="inlineStr">
        <is>
          <t>ÅMÅL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62483-2025</t>
        </is>
      </c>
      <c r="B234" s="1" t="n">
        <v>46007</v>
      </c>
      <c r="C234" s="1" t="n">
        <v>46138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28866-2022</t>
        </is>
      </c>
      <c r="B235" s="1" t="n">
        <v>44749.51043981482</v>
      </c>
      <c r="C235" s="1" t="n">
        <v>46138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62844-2025</t>
        </is>
      </c>
      <c r="B236" s="1" t="n">
        <v>46008.69332175926</v>
      </c>
      <c r="C236" s="1" t="n">
        <v>46138</v>
      </c>
      <c r="D236" t="inlineStr">
        <is>
          <t>VÄSTRA GÖTALANDS LÄN</t>
        </is>
      </c>
      <c r="E236" t="inlineStr">
        <is>
          <t>ÅMÅL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11402-2023</t>
        </is>
      </c>
      <c r="B237" s="1" t="n">
        <v>44993.4881712963</v>
      </c>
      <c r="C237" s="1" t="n">
        <v>46138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62952-2025</t>
        </is>
      </c>
      <c r="B238" s="1" t="n">
        <v>46009.44938657407</v>
      </c>
      <c r="C238" s="1" t="n">
        <v>46138</v>
      </c>
      <c r="D238" t="inlineStr">
        <is>
          <t>VÄSTRA GÖTALANDS LÄN</t>
        </is>
      </c>
      <c r="E238" t="inlineStr">
        <is>
          <t>ÅMÅL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47699-2024</t>
        </is>
      </c>
      <c r="B239" s="1" t="n">
        <v>45588.46224537037</v>
      </c>
      <c r="C239" s="1" t="n">
        <v>46138</v>
      </c>
      <c r="D239" t="inlineStr">
        <is>
          <t>VÄSTRA GÖTALANDS LÄN</t>
        </is>
      </c>
      <c r="E239" t="inlineStr">
        <is>
          <t>ÅMÅL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40189-2024</t>
        </is>
      </c>
      <c r="B240" s="1" t="n">
        <v>45554.56659722222</v>
      </c>
      <c r="C240" s="1" t="n">
        <v>46138</v>
      </c>
      <c r="D240" t="inlineStr">
        <is>
          <t>VÄSTRA GÖTALANDS LÄN</t>
        </is>
      </c>
      <c r="E240" t="inlineStr">
        <is>
          <t>ÅMÅL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41013-2023</t>
        </is>
      </c>
      <c r="B241" s="1" t="n">
        <v>45169</v>
      </c>
      <c r="C241" s="1" t="n">
        <v>46138</v>
      </c>
      <c r="D241" t="inlineStr">
        <is>
          <t>VÄSTRA GÖTALANDS LÄN</t>
        </is>
      </c>
      <c r="E241" t="inlineStr">
        <is>
          <t>ÅMÅL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46136-2021</t>
        </is>
      </c>
      <c r="B242" s="1" t="n">
        <v>44442.39613425926</v>
      </c>
      <c r="C242" s="1" t="n">
        <v>46138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54870-2023</t>
        </is>
      </c>
      <c r="B243" s="1" t="n">
        <v>45229</v>
      </c>
      <c r="C243" s="1" t="n">
        <v>46138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70345-2021</t>
        </is>
      </c>
      <c r="B244" s="1" t="n">
        <v>44536</v>
      </c>
      <c r="C244" s="1" t="n">
        <v>46138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1689-2026</t>
        </is>
      </c>
      <c r="B245" s="1" t="n">
        <v>46034.58842592593</v>
      </c>
      <c r="C245" s="1" t="n">
        <v>46138</v>
      </c>
      <c r="D245" t="inlineStr">
        <is>
          <t>VÄSTRA GÖTALANDS LÄN</t>
        </is>
      </c>
      <c r="E245" t="inlineStr">
        <is>
          <t>ÅMÅL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1695-2026</t>
        </is>
      </c>
      <c r="B246" s="1" t="n">
        <v>46034.59358796296</v>
      </c>
      <c r="C246" s="1" t="n">
        <v>46138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17391-2024</t>
        </is>
      </c>
      <c r="B247" s="1" t="n">
        <v>45414.68023148148</v>
      </c>
      <c r="C247" s="1" t="n">
        <v>46138</v>
      </c>
      <c r="D247" t="inlineStr">
        <is>
          <t>VÄSTRA GÖTALANDS LÄN</t>
        </is>
      </c>
      <c r="E247" t="inlineStr">
        <is>
          <t>ÅMÅL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28688-2024</t>
        </is>
      </c>
      <c r="B248" s="1" t="n">
        <v>45478.48899305556</v>
      </c>
      <c r="C248" s="1" t="n">
        <v>46138</v>
      </c>
      <c r="D248" t="inlineStr">
        <is>
          <t>VÄSTRA GÖTALANDS LÄN</t>
        </is>
      </c>
      <c r="E248" t="inlineStr">
        <is>
          <t>ÅMÅL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58097-2023</t>
        </is>
      </c>
      <c r="B249" s="1" t="n">
        <v>45248.84173611111</v>
      </c>
      <c r="C249" s="1" t="n">
        <v>46138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73273-2021</t>
        </is>
      </c>
      <c r="B250" s="1" t="n">
        <v>44550.92103009259</v>
      </c>
      <c r="C250" s="1" t="n">
        <v>46138</v>
      </c>
      <c r="D250" t="inlineStr">
        <is>
          <t>VÄSTRA GÖTALANDS LÄN</t>
        </is>
      </c>
      <c r="E250" t="inlineStr">
        <is>
          <t>ÅMÅL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2981-2026</t>
        </is>
      </c>
      <c r="B251" s="1" t="n">
        <v>46038</v>
      </c>
      <c r="C251" s="1" t="n">
        <v>46138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37812-2021</t>
        </is>
      </c>
      <c r="B252" s="1" t="n">
        <v>44402</v>
      </c>
      <c r="C252" s="1" t="n">
        <v>46138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28622-2024</t>
        </is>
      </c>
      <c r="B253" s="1" t="n">
        <v>45478.44236111111</v>
      </c>
      <c r="C253" s="1" t="n">
        <v>46138</v>
      </c>
      <c r="D253" t="inlineStr">
        <is>
          <t>VÄSTRA GÖTALANDS LÄN</t>
        </is>
      </c>
      <c r="E253" t="inlineStr">
        <is>
          <t>ÅMÅL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35154-2022</t>
        </is>
      </c>
      <c r="B254" s="1" t="n">
        <v>44797</v>
      </c>
      <c r="C254" s="1" t="n">
        <v>46138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48447-2022</t>
        </is>
      </c>
      <c r="B255" s="1" t="n">
        <v>44858.65266203704</v>
      </c>
      <c r="C255" s="1" t="n">
        <v>46138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60382-2021</t>
        </is>
      </c>
      <c r="B256" s="1" t="n">
        <v>44496.36440972222</v>
      </c>
      <c r="C256" s="1" t="n">
        <v>46138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57298-2024</t>
        </is>
      </c>
      <c r="B257" s="1" t="n">
        <v>45629.59912037037</v>
      </c>
      <c r="C257" s="1" t="n">
        <v>46138</v>
      </c>
      <c r="D257" t="inlineStr">
        <is>
          <t>VÄSTRA GÖTALANDS LÄN</t>
        </is>
      </c>
      <c r="E257" t="inlineStr">
        <is>
          <t>ÅMÅL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30981-2023</t>
        </is>
      </c>
      <c r="B258" s="1" t="n">
        <v>45113.51041666666</v>
      </c>
      <c r="C258" s="1" t="n">
        <v>46138</v>
      </c>
      <c r="D258" t="inlineStr">
        <is>
          <t>VÄSTRA GÖTALANDS LÄN</t>
        </is>
      </c>
      <c r="E258" t="inlineStr">
        <is>
          <t>ÅMÅL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46138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38526-2022</t>
        </is>
      </c>
      <c r="B260" s="1" t="n">
        <v>44813.45697916667</v>
      </c>
      <c r="C260" s="1" t="n">
        <v>46138</v>
      </c>
      <c r="D260" t="inlineStr">
        <is>
          <t>VÄSTRA GÖTALANDS LÄN</t>
        </is>
      </c>
      <c r="E260" t="inlineStr">
        <is>
          <t>ÅMÅL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45042.70158564814</v>
      </c>
      <c r="C261" s="1" t="n">
        <v>46138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54181-2024</t>
        </is>
      </c>
      <c r="B262" s="1" t="n">
        <v>45616.63821759259</v>
      </c>
      <c r="C262" s="1" t="n">
        <v>46138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47690-2024</t>
        </is>
      </c>
      <c r="B263" s="1" t="n">
        <v>45588.45356481482</v>
      </c>
      <c r="C263" s="1" t="n">
        <v>46138</v>
      </c>
      <c r="D263" t="inlineStr">
        <is>
          <t>VÄSTRA GÖTALANDS LÄN</t>
        </is>
      </c>
      <c r="E263" t="inlineStr">
        <is>
          <t>ÅMÅL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47697-2024</t>
        </is>
      </c>
      <c r="B264" s="1" t="n">
        <v>45588.45899305555</v>
      </c>
      <c r="C264" s="1" t="n">
        <v>46138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3141-2022</t>
        </is>
      </c>
      <c r="B265" s="1" t="n">
        <v>44582.53597222222</v>
      </c>
      <c r="C265" s="1" t="n">
        <v>46138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58225-2021</t>
        </is>
      </c>
      <c r="B266" s="1" t="n">
        <v>44487</v>
      </c>
      <c r="C266" s="1" t="n">
        <v>46138</v>
      </c>
      <c r="D266" t="inlineStr">
        <is>
          <t>VÄSTRA GÖTALANDS LÄN</t>
        </is>
      </c>
      <c r="E266" t="inlineStr">
        <is>
          <t>ÅMÅL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22168-2023</t>
        </is>
      </c>
      <c r="B267" s="1" t="n">
        <v>45065</v>
      </c>
      <c r="C267" s="1" t="n">
        <v>46138</v>
      </c>
      <c r="D267" t="inlineStr">
        <is>
          <t>VÄSTRA GÖTALANDS LÄN</t>
        </is>
      </c>
      <c r="E267" t="inlineStr">
        <is>
          <t>ÅMÅL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18939-2024</t>
        </is>
      </c>
      <c r="B268" s="1" t="n">
        <v>45427.46386574074</v>
      </c>
      <c r="C268" s="1" t="n">
        <v>46138</v>
      </c>
      <c r="D268" t="inlineStr">
        <is>
          <t>VÄSTRA GÖTALANDS LÄN</t>
        </is>
      </c>
      <c r="E268" t="inlineStr">
        <is>
          <t>ÅMÅL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7764-2025</t>
        </is>
      </c>
      <c r="B269" s="1" t="n">
        <v>45706.54957175926</v>
      </c>
      <c r="C269" s="1" t="n">
        <v>46138</v>
      </c>
      <c r="D269" t="inlineStr">
        <is>
          <t>VÄSTRA GÖTALANDS LÄN</t>
        </is>
      </c>
      <c r="E269" t="inlineStr">
        <is>
          <t>ÅMÅL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19471-2023</t>
        </is>
      </c>
      <c r="B270" s="1" t="n">
        <v>45050</v>
      </c>
      <c r="C270" s="1" t="n">
        <v>46138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16153-2026</t>
        </is>
      </c>
      <c r="B271" s="1" t="n">
        <v>46108.68108796296</v>
      </c>
      <c r="C271" s="1" t="n">
        <v>46138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54867-2023</t>
        </is>
      </c>
      <c r="B272" s="1" t="n">
        <v>45229</v>
      </c>
      <c r="C272" s="1" t="n">
        <v>46138</v>
      </c>
      <c r="D272" t="inlineStr">
        <is>
          <t>VÄSTRA GÖTALANDS LÄN</t>
        </is>
      </c>
      <c r="E272" t="inlineStr">
        <is>
          <t>ÅMÅL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30980-2023</t>
        </is>
      </c>
      <c r="B273" s="1" t="n">
        <v>45113.50747685185</v>
      </c>
      <c r="C273" s="1" t="n">
        <v>46138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9811-2026</t>
        </is>
      </c>
      <c r="B274" s="1" t="n">
        <v>46072.63173611111</v>
      </c>
      <c r="C274" s="1" t="n">
        <v>46138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9810-2026</t>
        </is>
      </c>
      <c r="B275" s="1" t="n">
        <v>46072.63025462963</v>
      </c>
      <c r="C275" s="1" t="n">
        <v>46138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9821-2026</t>
        </is>
      </c>
      <c r="B276" s="1" t="n">
        <v>46072.64320601852</v>
      </c>
      <c r="C276" s="1" t="n">
        <v>46138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5966-2024</t>
        </is>
      </c>
      <c r="B277" s="1" t="n">
        <v>45336.48494212963</v>
      </c>
      <c r="C277" s="1" t="n">
        <v>46138</v>
      </c>
      <c r="D277" t="inlineStr">
        <is>
          <t>VÄSTRA GÖTALANDS LÄN</t>
        </is>
      </c>
      <c r="E277" t="inlineStr">
        <is>
          <t>ÅMÅL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57252-2023</t>
        </is>
      </c>
      <c r="B278" s="1" t="n">
        <v>45245.56895833334</v>
      </c>
      <c r="C278" s="1" t="n">
        <v>46138</v>
      </c>
      <c r="D278" t="inlineStr">
        <is>
          <t>VÄSTRA GÖTALANDS LÄN</t>
        </is>
      </c>
      <c r="E278" t="inlineStr">
        <is>
          <t>ÅMÅL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17686-2026</t>
        </is>
      </c>
      <c r="B279" s="1" t="n">
        <v>46121</v>
      </c>
      <c r="C279" s="1" t="n">
        <v>46138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45667-2022</t>
        </is>
      </c>
      <c r="B280" s="1" t="n">
        <v>44845.71525462963</v>
      </c>
      <c r="C280" s="1" t="n">
        <v>46138</v>
      </c>
      <c r="D280" t="inlineStr">
        <is>
          <t>VÄSTRA GÖTALANDS LÄN</t>
        </is>
      </c>
      <c r="E280" t="inlineStr">
        <is>
          <t>ÅMÅL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19914-2025</t>
        </is>
      </c>
      <c r="B281" s="1" t="n">
        <v>45771.61266203703</v>
      </c>
      <c r="C281" s="1" t="n">
        <v>46138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40261-2024</t>
        </is>
      </c>
      <c r="B282" s="1" t="n">
        <v>45554.63262731482</v>
      </c>
      <c r="C282" s="1" t="n">
        <v>46138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11963-2026</t>
        </is>
      </c>
      <c r="B283" s="1" t="n">
        <v>46085.61393518518</v>
      </c>
      <c r="C283" s="1" t="n">
        <v>46138</v>
      </c>
      <c r="D283" t="inlineStr">
        <is>
          <t>VÄSTRA GÖTALANDS LÄN</t>
        </is>
      </c>
      <c r="E283" t="inlineStr">
        <is>
          <t>ÅMÅL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45013.91371527778</v>
      </c>
      <c r="C284" s="1" t="n">
        <v>46138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12517-2026</t>
        </is>
      </c>
      <c r="B285" s="1" t="n">
        <v>46090.59299768518</v>
      </c>
      <c r="C285" s="1" t="n">
        <v>46138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12567-2026</t>
        </is>
      </c>
      <c r="B286" s="1" t="n">
        <v>46090.65644675926</v>
      </c>
      <c r="C286" s="1" t="n">
        <v>46138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55317-2024</t>
        </is>
      </c>
      <c r="B287" s="1" t="n">
        <v>45621.66334490741</v>
      </c>
      <c r="C287" s="1" t="n">
        <v>46138</v>
      </c>
      <c r="D287" t="inlineStr">
        <is>
          <t>VÄSTRA GÖTALANDS LÄN</t>
        </is>
      </c>
      <c r="E287" t="inlineStr">
        <is>
          <t>ÅMÅL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12621-2026</t>
        </is>
      </c>
      <c r="B288" s="1" t="n">
        <v>46091.42946759259</v>
      </c>
      <c r="C288" s="1" t="n">
        <v>46138</v>
      </c>
      <c r="D288" t="inlineStr">
        <is>
          <t>VÄSTRA GÖTALANDS LÄN</t>
        </is>
      </c>
      <c r="E288" t="inlineStr">
        <is>
          <t>ÅMÅL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60148-2022</t>
        </is>
      </c>
      <c r="B289" s="1" t="n">
        <v>44909</v>
      </c>
      <c r="C289" s="1" t="n">
        <v>46138</v>
      </c>
      <c r="D289" t="inlineStr">
        <is>
          <t>VÄSTRA GÖTALANDS LÄN</t>
        </is>
      </c>
      <c r="E289" t="inlineStr">
        <is>
          <t>ÅMÅL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58266-2022</t>
        </is>
      </c>
      <c r="B290" s="1" t="n">
        <v>44901</v>
      </c>
      <c r="C290" s="1" t="n">
        <v>46138</v>
      </c>
      <c r="D290" t="inlineStr">
        <is>
          <t>VÄSTRA GÖTALANDS LÄN</t>
        </is>
      </c>
      <c r="E290" t="inlineStr">
        <is>
          <t>ÅMÅL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53617-2022</t>
        </is>
      </c>
      <c r="B291" s="1" t="n">
        <v>44879</v>
      </c>
      <c r="C291" s="1" t="n">
        <v>46138</v>
      </c>
      <c r="D291" t="inlineStr">
        <is>
          <t>VÄSTRA GÖTALANDS LÄN</t>
        </is>
      </c>
      <c r="E291" t="inlineStr">
        <is>
          <t>ÅMÅL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18528-2023</t>
        </is>
      </c>
      <c r="B292" s="1" t="n">
        <v>45042.69927083333</v>
      </c>
      <c r="C292" s="1" t="n">
        <v>46138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1968-2025</t>
        </is>
      </c>
      <c r="B293" s="1" t="n">
        <v>45671</v>
      </c>
      <c r="C293" s="1" t="n">
        <v>46138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46138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45109.63346064815</v>
      </c>
      <c r="C295" s="1" t="n">
        <v>46138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37174-2024</t>
        </is>
      </c>
      <c r="B296" s="1" t="n">
        <v>45539.63673611111</v>
      </c>
      <c r="C296" s="1" t="n">
        <v>46138</v>
      </c>
      <c r="D296" t="inlineStr">
        <is>
          <t>VÄSTRA GÖTALANDS LÄN</t>
        </is>
      </c>
      <c r="E296" t="inlineStr">
        <is>
          <t>ÅMÅL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51257-2022</t>
        </is>
      </c>
      <c r="B297" s="1" t="n">
        <v>44866</v>
      </c>
      <c r="C297" s="1" t="n">
        <v>46138</v>
      </c>
      <c r="D297" t="inlineStr">
        <is>
          <t>VÄSTRA GÖTALANDS LÄN</t>
        </is>
      </c>
      <c r="E297" t="inlineStr">
        <is>
          <t>ÅMÅL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53885-2022</t>
        </is>
      </c>
      <c r="B298" s="1" t="n">
        <v>44876</v>
      </c>
      <c r="C298" s="1" t="n">
        <v>46138</v>
      </c>
      <c r="D298" t="inlineStr">
        <is>
          <t>VÄSTRA GÖTALANDS LÄN</t>
        </is>
      </c>
      <c r="E298" t="inlineStr">
        <is>
          <t>ÅMÅL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48142-2024</t>
        </is>
      </c>
      <c r="B299" s="1" t="n">
        <v>45589.66851851852</v>
      </c>
      <c r="C299" s="1" t="n">
        <v>46138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34532-2023</t>
        </is>
      </c>
      <c r="B300" s="1" t="n">
        <v>45140.43631944444</v>
      </c>
      <c r="C300" s="1" t="n">
        <v>46138</v>
      </c>
      <c r="D300" t="inlineStr">
        <is>
          <t>VÄSTRA GÖTALANDS LÄN</t>
        </is>
      </c>
      <c r="E300" t="inlineStr">
        <is>
          <t>ÅMÅL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34417-2024</t>
        </is>
      </c>
      <c r="B301" s="1" t="n">
        <v>45525.49019675926</v>
      </c>
      <c r="C301" s="1" t="n">
        <v>46138</v>
      </c>
      <c r="D301" t="inlineStr">
        <is>
          <t>VÄSTRA GÖTALANDS LÄN</t>
        </is>
      </c>
      <c r="E301" t="inlineStr">
        <is>
          <t>ÅMÅL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48276-2022</t>
        </is>
      </c>
      <c r="B302" s="1" t="n">
        <v>44858</v>
      </c>
      <c r="C302" s="1" t="n">
        <v>46138</v>
      </c>
      <c r="D302" t="inlineStr">
        <is>
          <t>VÄSTRA GÖTALANDS LÄN</t>
        </is>
      </c>
      <c r="E302" t="inlineStr">
        <is>
          <t>ÅMÅL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23185-2024</t>
        </is>
      </c>
      <c r="B303" s="1" t="n">
        <v>45450</v>
      </c>
      <c r="C303" s="1" t="n">
        <v>46138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15466-2023</t>
        </is>
      </c>
      <c r="B304" s="1" t="n">
        <v>45019</v>
      </c>
      <c r="C304" s="1" t="n">
        <v>46138</v>
      </c>
      <c r="D304" t="inlineStr">
        <is>
          <t>VÄSTRA GÖTALANDS LÄN</t>
        </is>
      </c>
      <c r="E304" t="inlineStr">
        <is>
          <t>ÅMÅL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45086-2024</t>
        </is>
      </c>
      <c r="B305" s="1" t="n">
        <v>45575.58041666666</v>
      </c>
      <c r="C305" s="1" t="n">
        <v>46138</v>
      </c>
      <c r="D305" t="inlineStr">
        <is>
          <t>VÄSTRA GÖTALANDS LÄN</t>
        </is>
      </c>
      <c r="E305" t="inlineStr">
        <is>
          <t>ÅMÅL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54877-2023</t>
        </is>
      </c>
      <c r="B306" s="1" t="n">
        <v>45229</v>
      </c>
      <c r="C306" s="1" t="n">
        <v>46138</v>
      </c>
      <c r="D306" t="inlineStr">
        <is>
          <t>VÄSTRA GÖTALANDS LÄN</t>
        </is>
      </c>
      <c r="E306" t="inlineStr">
        <is>
          <t>ÅMÅL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51056-2022</t>
        </is>
      </c>
      <c r="B307" s="1" t="n">
        <v>44868</v>
      </c>
      <c r="C307" s="1" t="n">
        <v>46138</v>
      </c>
      <c r="D307" t="inlineStr">
        <is>
          <t>VÄSTRA GÖTALANDS LÄN</t>
        </is>
      </c>
      <c r="E307" t="inlineStr">
        <is>
          <t>ÅMÅL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30616-2024</t>
        </is>
      </c>
      <c r="B308" s="1" t="n">
        <v>45495.38644675926</v>
      </c>
      <c r="C308" s="1" t="n">
        <v>46138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2026-04-26T10:56:59Z</dcterms:created>
  <dcterms:modified xmlns:dcterms="http://purl.org/dc/terms/" xmlns:xsi="http://www.w3.org/2001/XMLSchema-instance" xsi:type="dcterms:W3CDTF">2026-04-26T10:56:59Z</dcterms:modified>
</cp:coreProperties>
</file>