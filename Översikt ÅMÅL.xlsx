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46313</v>
      </c>
      <c r="F2" t="inlineStr">
        <is>
          <t>VÄSTRA GÖTALANDS LÄN</t>
        </is>
      </c>
      <c r="G2" t="inlineStr">
        <is>
          <t>ÅMÅL</t>
        </is>
      </c>
      <c r="I2" t="n">
        <v>2.1</v>
      </c>
      <c r="J2" t="n">
        <v>41</v>
      </c>
      <c r="K2" t="n">
        <v>0</v>
      </c>
      <c r="L2" t="n">
        <v>17</v>
      </c>
      <c r="M2" t="n">
        <v>4</v>
      </c>
      <c r="N2" t="n">
        <v>2</v>
      </c>
      <c r="O2" t="n">
        <v>0</v>
      </c>
      <c r="P2" t="n">
        <v>0</v>
      </c>
      <c r="Q2" t="n">
        <v>23</v>
      </c>
      <c r="R2" t="n">
        <v>6</v>
      </c>
      <c r="S2" t="n">
        <v>41</v>
      </c>
      <c r="T2" t="n">
        <v>41</v>
      </c>
      <c r="U2" t="n">
        <v>12</v>
      </c>
      <c r="V2" s="2" t="inlineStr">
        <is>
          <t>Hornuggla
Storspov
Grönfink
Hussvala
Stare
Tornseglare
Blåhake
Duvhök
Entita
Grönsångare
Gulsparv
Göktyta
Järnsparv
Kungsörn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40425-2026</t>
        </is>
      </c>
      <c r="B3" t="inlineStr">
        <is>
          <t>avverkningsanmälan</t>
        </is>
      </c>
      <c r="C3" t="inlineStr">
        <is>
          <t>Föryngringsavverkning</t>
        </is>
      </c>
      <c r="D3" s="1" t="n">
        <v>46294</v>
      </c>
      <c r="E3" s="1" t="n">
        <v>46313</v>
      </c>
      <c r="F3" t="inlineStr">
        <is>
          <t>VÄSTRA GÖTALANDS LÄN</t>
        </is>
      </c>
      <c r="G3" t="inlineStr">
        <is>
          <t>ÅMÅL</t>
        </is>
      </c>
      <c r="I3" t="n">
        <v>20.9</v>
      </c>
      <c r="J3" t="n">
        <v>1</v>
      </c>
      <c r="K3" t="n">
        <v>5</v>
      </c>
      <c r="L3" t="n">
        <v>2</v>
      </c>
      <c r="M3" t="n">
        <v>1</v>
      </c>
      <c r="N3" t="n">
        <v>0</v>
      </c>
      <c r="O3" t="n">
        <v>0</v>
      </c>
      <c r="P3" t="n">
        <v>0</v>
      </c>
      <c r="Q3" t="n">
        <v>3</v>
      </c>
      <c r="R3" t="n">
        <v>1</v>
      </c>
      <c r="S3" t="n">
        <v>9</v>
      </c>
      <c r="T3" t="n">
        <v>13</v>
      </c>
      <c r="U3" t="n">
        <v>2</v>
      </c>
      <c r="V3" s="2" t="inlineStr">
        <is>
          <t>Garnlav
Kattfotslav
Vedtrappmossa
Bronshjon
Stubbspretmossa
Thomsons trägnagare
Västlig hakmossa
Vågbandad barkbock
Spillkråka</t>
        </is>
      </c>
      <c r="W3">
        <f>HYPERLINK("https://klasma.github.io/Logging_1492/artfynd/A 40425-2026 artfynd.xlsx", "A 40425-2026")</f>
        <v/>
      </c>
      <c r="X3">
        <f>HYPERLINK("https://klasma.github.io/Logging_1492/kartor/A 40425-2026 karta.png", "A 40425-2026")</f>
        <v/>
      </c>
      <c r="Y3">
        <f>HYPERLINK("https://klasma.github.io/Logging_1492/kartor_geotiff/A 40425-2026 georefererad karta.tif", "A 40425-2026")</f>
        <v/>
      </c>
      <c r="AA3">
        <f>HYPERLINK("https://klasma.github.io/Logging_1492/klagomål/A 40425-2026 FSC-klagomål.docx", "A 40425-2026")</f>
        <v/>
      </c>
      <c r="AB3">
        <f>HYPERLINK("https://klasma.github.io/Logging_1492/klagomålsmail/A 40425-2026 FSC-klagomål mail.docx", "A 40425-2026")</f>
        <v/>
      </c>
      <c r="AC3">
        <f>HYPERLINK("https://klasma.github.io/Logging_1492/tillsyn/A 40425-2026 tillsynsbegäran.docx", "A 40425-2026")</f>
        <v/>
      </c>
      <c r="AD3">
        <f>HYPERLINK("https://klasma.github.io/Logging_1492/tillsynsmail/A 40425-2026 tillsynsbegäran mail.docx", "A 40425-2026")</f>
        <v/>
      </c>
      <c r="AE3">
        <f>HYPERLINK("https://klasma.github.io/Logging_1492/fåglar/A 40425-2026 prioriterade fågelarter.docx", "A 40425-2026")</f>
        <v/>
      </c>
    </row>
    <row r="4" ht="15" customHeight="1">
      <c r="A4" t="inlineStr">
        <is>
          <t>A 17535-2024</t>
        </is>
      </c>
      <c r="B4" t="inlineStr">
        <is>
          <t>avverkningsanmälan</t>
        </is>
      </c>
      <c r="C4" t="inlineStr">
        <is>
          <t>Föryngringsavverkning</t>
        </is>
      </c>
      <c r="D4" s="1" t="n">
        <v>45415</v>
      </c>
      <c r="E4" s="1" t="n">
        <v>46313</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46313</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46313</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46313</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46313</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46313</v>
      </c>
      <c r="F9" t="inlineStr">
        <is>
          <t>VÄSTRA GÖTALANDS LÄN</t>
        </is>
      </c>
      <c r="G9" t="inlineStr">
        <is>
          <t>ÅMÅL</t>
        </is>
      </c>
      <c r="I9" t="n">
        <v>2</v>
      </c>
      <c r="J9" t="n">
        <v>0</v>
      </c>
      <c r="K9" t="n">
        <v>1</v>
      </c>
      <c r="L9" t="n">
        <v>1</v>
      </c>
      <c r="M9" t="n">
        <v>0</v>
      </c>
      <c r="N9" t="n">
        <v>0</v>
      </c>
      <c r="O9" t="n">
        <v>0</v>
      </c>
      <c r="P9" t="n">
        <v>0</v>
      </c>
      <c r="Q9" t="n">
        <v>1</v>
      </c>
      <c r="R9" t="n">
        <v>0</v>
      </c>
      <c r="S9" t="n">
        <v>2</v>
      </c>
      <c r="T9" t="n">
        <v>2</v>
      </c>
      <c r="U9" t="n">
        <v>1</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46313</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46313</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55118-2025</t>
        </is>
      </c>
      <c r="B12" t="inlineStr">
        <is>
          <t>avverkningsanmälan</t>
        </is>
      </c>
      <c r="C12" t="inlineStr">
        <is>
          <t>Föryngringsavverkning</t>
        </is>
      </c>
      <c r="D12" s="1" t="n">
        <v>45967</v>
      </c>
      <c r="E12" s="1" t="n">
        <v>46313</v>
      </c>
      <c r="F12" t="inlineStr">
        <is>
          <t>VÄSTRA GÖTALANDS LÄN</t>
        </is>
      </c>
      <c r="G12" t="inlineStr">
        <is>
          <t>ÅMÅL</t>
        </is>
      </c>
      <c r="I12" t="n">
        <v>1.6</v>
      </c>
      <c r="J12" t="n">
        <v>0</v>
      </c>
      <c r="K12" t="n">
        <v>0</v>
      </c>
      <c r="L12" t="n">
        <v>1</v>
      </c>
      <c r="M12" t="n">
        <v>0</v>
      </c>
      <c r="N12" t="n">
        <v>0</v>
      </c>
      <c r="O12" t="n">
        <v>0</v>
      </c>
      <c r="P12" t="n">
        <v>0</v>
      </c>
      <c r="Q12" t="n">
        <v>1</v>
      </c>
      <c r="R12" t="n">
        <v>0</v>
      </c>
      <c r="S12" t="n">
        <v>1</v>
      </c>
      <c r="T12" t="n">
        <v>1</v>
      </c>
      <c r="U12" t="n">
        <v>0</v>
      </c>
      <c r="V12" s="2" t="inlineStr">
        <is>
          <t>Luddfingersvamp</t>
        </is>
      </c>
      <c r="W12">
        <f>HYPERLINK("https://klasma.github.io/Logging_1492/artfynd/A 55118-2025 artfynd.xlsx", "A 55118-2025")</f>
        <v/>
      </c>
      <c r="X12">
        <f>HYPERLINK("https://klasma.github.io/Logging_1492/kartor/A 55118-2025 karta.png", "A 55118-2025")</f>
        <v/>
      </c>
      <c r="Y12">
        <f>HYPERLINK("https://klasma.github.io/Logging_1492/kartor_geotiff/A 55118-2025 georefererad karta.tif", "A 55118-2025")</f>
        <v/>
      </c>
      <c r="AA12">
        <f>HYPERLINK("https://klasma.github.io/Logging_1492/klagomål/A 55118-2025 FSC-klagomål.docx", "A 55118-2025")</f>
        <v/>
      </c>
      <c r="AB12">
        <f>HYPERLINK("https://klasma.github.io/Logging_1492/klagomålsmail/A 55118-2025 FSC-klagomål mail.docx", "A 55118-2025")</f>
        <v/>
      </c>
      <c r="AC12">
        <f>HYPERLINK("https://klasma.github.io/Logging_1492/tillsyn/A 55118-2025 tillsynsbegäran.docx", "A 55118-2025")</f>
        <v/>
      </c>
      <c r="AD12">
        <f>HYPERLINK("https://klasma.github.io/Logging_1492/tillsynsmail/A 55118-2025 tillsynsbegäran mail.docx", "A 55118-2025")</f>
        <v/>
      </c>
    </row>
    <row r="13" ht="15" customHeight="1">
      <c r="A13" t="inlineStr">
        <is>
          <t>A 31051-2026</t>
        </is>
      </c>
      <c r="B13" t="inlineStr">
        <is>
          <t>avverkningsanmälan</t>
        </is>
      </c>
      <c r="C13" t="inlineStr">
        <is>
          <t>Föryngringsavverkning</t>
        </is>
      </c>
      <c r="D13" s="1" t="n">
        <v>46215</v>
      </c>
      <c r="E13" s="1" t="n">
        <v>46313</v>
      </c>
      <c r="F13" t="inlineStr">
        <is>
          <t>VÄSTRA GÖTALANDS LÄN</t>
        </is>
      </c>
      <c r="G13" t="inlineStr">
        <is>
          <t>ÅMÅL</t>
        </is>
      </c>
      <c r="I13" t="n">
        <v>2.3</v>
      </c>
      <c r="J13" t="n">
        <v>0</v>
      </c>
      <c r="K13" t="n">
        <v>0</v>
      </c>
      <c r="L13" t="n">
        <v>1</v>
      </c>
      <c r="M13" t="n">
        <v>0</v>
      </c>
      <c r="N13" t="n">
        <v>0</v>
      </c>
      <c r="O13" t="n">
        <v>0</v>
      </c>
      <c r="P13" t="n">
        <v>0</v>
      </c>
      <c r="Q13" t="n">
        <v>1</v>
      </c>
      <c r="R13" t="n">
        <v>0</v>
      </c>
      <c r="S13" t="n">
        <v>1</v>
      </c>
      <c r="T13" t="n">
        <v>1</v>
      </c>
      <c r="U13" t="n">
        <v>0</v>
      </c>
      <c r="V13" s="2" t="inlineStr">
        <is>
          <t>Dunmossa</t>
        </is>
      </c>
      <c r="W13">
        <f>HYPERLINK("https://klasma.github.io/Logging_1492/artfynd/A 31051-2026 artfynd.xlsx", "A 31051-2026")</f>
        <v/>
      </c>
      <c r="X13">
        <f>HYPERLINK("https://klasma.github.io/Logging_1492/kartor/A 31051-2026 karta.png", "A 31051-2026")</f>
        <v/>
      </c>
      <c r="Y13">
        <f>HYPERLINK("https://klasma.github.io/Logging_1492/kartor_geotiff/A 31051-2026 georefererad karta.tif", "A 31051-2026")</f>
        <v/>
      </c>
      <c r="AA13">
        <f>HYPERLINK("https://klasma.github.io/Logging_1492/klagomål/A 31051-2026 FSC-klagomål.docx", "A 31051-2026")</f>
        <v/>
      </c>
      <c r="AB13">
        <f>HYPERLINK("https://klasma.github.io/Logging_1492/klagomålsmail/A 31051-2026 FSC-klagomål mail.docx", "A 31051-2026")</f>
        <v/>
      </c>
      <c r="AC13">
        <f>HYPERLINK("https://klasma.github.io/Logging_1492/tillsyn/A 31051-2026 tillsynsbegäran.docx", "A 31051-2026")</f>
        <v/>
      </c>
      <c r="AD13">
        <f>HYPERLINK("https://klasma.github.io/Logging_1492/tillsynsmail/A 31051-2026 tillsynsbegäran mail.docx", "A 31051-2026")</f>
        <v/>
      </c>
    </row>
    <row r="14" ht="15" customHeight="1">
      <c r="A14" t="inlineStr">
        <is>
          <t>A 40620-2026</t>
        </is>
      </c>
      <c r="B14" t="inlineStr">
        <is>
          <t>avverkningsanmälan</t>
        </is>
      </c>
      <c r="C14" t="inlineStr">
        <is>
          <t>Föryngringsavverkning</t>
        </is>
      </c>
      <c r="D14" s="1" t="n">
        <v>46295</v>
      </c>
      <c r="E14" s="1" t="n">
        <v>46313</v>
      </c>
      <c r="F14" t="inlineStr">
        <is>
          <t>VÄSTRA GÖTALANDS LÄN</t>
        </is>
      </c>
      <c r="G14" t="inlineStr">
        <is>
          <t>ÅMÅL</t>
        </is>
      </c>
      <c r="H14" t="inlineStr">
        <is>
          <t>Kommuner</t>
        </is>
      </c>
      <c r="I14" t="n">
        <v>1.8</v>
      </c>
      <c r="J14" t="n">
        <v>1</v>
      </c>
      <c r="K14" t="n">
        <v>0</v>
      </c>
      <c r="L14" t="n">
        <v>0</v>
      </c>
      <c r="M14" t="n">
        <v>0</v>
      </c>
      <c r="N14" t="n">
        <v>0</v>
      </c>
      <c r="O14" t="n">
        <v>0</v>
      </c>
      <c r="P14" t="n">
        <v>0</v>
      </c>
      <c r="Q14" t="n">
        <v>0</v>
      </c>
      <c r="R14" t="n">
        <v>0</v>
      </c>
      <c r="S14" t="n">
        <v>1</v>
      </c>
      <c r="T14" t="n">
        <v>1</v>
      </c>
      <c r="U14" t="n">
        <v>0</v>
      </c>
      <c r="V14" s="2" t="inlineStr">
        <is>
          <t>Kungsfågel</t>
        </is>
      </c>
      <c r="W14">
        <f>HYPERLINK("https://klasma.github.io/Logging_1492/artfynd/A 40620-2026 artfynd.xlsx", "A 40620-2026")</f>
        <v/>
      </c>
      <c r="X14">
        <f>HYPERLINK("https://klasma.github.io/Logging_1492/kartor/A 40620-2026 karta.png", "A 40620-2026")</f>
        <v/>
      </c>
      <c r="Y14">
        <f>HYPERLINK("https://klasma.github.io/Logging_1492/kartor_geotiff/A 40620-2026 georefererad karta.tif", "A 40620-2026")</f>
        <v/>
      </c>
      <c r="AA14">
        <f>HYPERLINK("https://klasma.github.io/Logging_1492/klagomål/A 40620-2026 FSC-klagomål.docx", "A 40620-2026")</f>
        <v/>
      </c>
      <c r="AB14">
        <f>HYPERLINK("https://klasma.github.io/Logging_1492/klagomålsmail/A 40620-2026 FSC-klagomål mail.docx", "A 40620-2026")</f>
        <v/>
      </c>
      <c r="AC14">
        <f>HYPERLINK("https://klasma.github.io/Logging_1492/tillsyn/A 40620-2026 tillsynsbegäran.docx", "A 40620-2026")</f>
        <v/>
      </c>
      <c r="AD14">
        <f>HYPERLINK("https://klasma.github.io/Logging_1492/tillsynsmail/A 40620-2026 tillsynsbegäran mail.docx", "A 40620-2026")</f>
        <v/>
      </c>
    </row>
    <row r="15" ht="15" customHeight="1">
      <c r="A15" t="inlineStr">
        <is>
          <t>A 38064-2023</t>
        </is>
      </c>
      <c r="B15" t="inlineStr">
        <is>
          <t>avverkningsanmälan</t>
        </is>
      </c>
      <c r="C15" t="inlineStr">
        <is>
          <t>Föryngringsavverkning</t>
        </is>
      </c>
      <c r="D15" s="1" t="n">
        <v>45159</v>
      </c>
      <c r="E15" s="1" t="n">
        <v>46313</v>
      </c>
      <c r="F15" t="inlineStr">
        <is>
          <t>VÄSTRA GÖTALANDS LÄN</t>
        </is>
      </c>
      <c r="G15" t="inlineStr">
        <is>
          <t>ÅMÅL</t>
        </is>
      </c>
      <c r="H15" t="inlineStr">
        <is>
          <t>Bergvik skog väst AB</t>
        </is>
      </c>
      <c r="I15" t="n">
        <v>3.5</v>
      </c>
      <c r="J15" t="n">
        <v>0</v>
      </c>
      <c r="K15" t="n">
        <v>1</v>
      </c>
      <c r="L15" t="n">
        <v>0</v>
      </c>
      <c r="M15" t="n">
        <v>0</v>
      </c>
      <c r="N15" t="n">
        <v>0</v>
      </c>
      <c r="O15" t="n">
        <v>0</v>
      </c>
      <c r="P15" t="n">
        <v>0</v>
      </c>
      <c r="Q15" t="n">
        <v>0</v>
      </c>
      <c r="R15" t="n">
        <v>0</v>
      </c>
      <c r="S15" t="n">
        <v>1</v>
      </c>
      <c r="T15" t="n">
        <v>1</v>
      </c>
      <c r="U15" t="n">
        <v>1</v>
      </c>
      <c r="V15" s="2" t="inlineStr">
        <is>
          <t>Vedticka</t>
        </is>
      </c>
      <c r="W15">
        <f>HYPERLINK("https://klasma.github.io/Logging_1492/artfynd/A 38064-2023 artfynd.xlsx", "A 38064-2023")</f>
        <v/>
      </c>
      <c r="X15">
        <f>HYPERLINK("https://klasma.github.io/Logging_1492/kartor/A 38064-2023 karta.png", "A 38064-2023")</f>
        <v/>
      </c>
      <c r="Y15">
        <f>HYPERLINK("https://klasma.github.io/Logging_1492/kartor_geotiff/A 38064-2023 georefererad karta.tif", "A 38064-2023")</f>
        <v/>
      </c>
      <c r="AA15">
        <f>HYPERLINK("https://klasma.github.io/Logging_1492/klagomål/A 38064-2023 FSC-klagomål.docx", "A 38064-2023")</f>
        <v/>
      </c>
      <c r="AB15">
        <f>HYPERLINK("https://klasma.github.io/Logging_1492/klagomålsmail/A 38064-2023 FSC-klagomål mail.docx", "A 38064-2023")</f>
        <v/>
      </c>
      <c r="AC15">
        <f>HYPERLINK("https://klasma.github.io/Logging_1492/tillsyn/A 38064-2023 tillsynsbegäran.docx", "A 38064-2023")</f>
        <v/>
      </c>
      <c r="AD15">
        <f>HYPERLINK("https://klasma.github.io/Logging_1492/tillsynsmail/A 38064-2023 tillsynsbegäran mail.docx", "A 38064-2023")</f>
        <v/>
      </c>
    </row>
    <row r="16" ht="15" customHeight="1">
      <c r="A16" t="inlineStr">
        <is>
          <t>A 36671-2025</t>
        </is>
      </c>
      <c r="B16" t="inlineStr">
        <is>
          <t>avverkningsanmälan</t>
        </is>
      </c>
      <c r="C16" t="inlineStr">
        <is>
          <t>Föryngringsavverkning</t>
        </is>
      </c>
      <c r="D16" s="1" t="n">
        <v>45873</v>
      </c>
      <c r="E16" s="1" t="n">
        <v>46313</v>
      </c>
      <c r="F16" t="inlineStr">
        <is>
          <t>VÄSTRA GÖTALANDS LÄN</t>
        </is>
      </c>
      <c r="G16" t="inlineStr">
        <is>
          <t>ÅMÅL</t>
        </is>
      </c>
      <c r="I16" t="n">
        <v>5</v>
      </c>
      <c r="J16" t="n">
        <v>0</v>
      </c>
      <c r="K16" t="n">
        <v>1</v>
      </c>
      <c r="L16" t="n">
        <v>0</v>
      </c>
      <c r="M16" t="n">
        <v>0</v>
      </c>
      <c r="N16" t="n">
        <v>0</v>
      </c>
      <c r="O16" t="n">
        <v>0</v>
      </c>
      <c r="P16" t="n">
        <v>0</v>
      </c>
      <c r="Q16" t="n">
        <v>0</v>
      </c>
      <c r="R16" t="n">
        <v>0</v>
      </c>
      <c r="S16" t="n">
        <v>1</v>
      </c>
      <c r="T16" t="n">
        <v>1</v>
      </c>
      <c r="U16" t="n">
        <v>0</v>
      </c>
      <c r="V16" s="2" t="inlineStr">
        <is>
          <t>Grönpyrola</t>
        </is>
      </c>
      <c r="W16">
        <f>HYPERLINK("https://klasma.github.io/Logging_1492/artfynd/A 36671-2025 artfynd.xlsx", "A 36671-2025")</f>
        <v/>
      </c>
      <c r="X16">
        <f>HYPERLINK("https://klasma.github.io/Logging_1492/kartor/A 36671-2025 karta.png", "A 36671-2025")</f>
        <v/>
      </c>
      <c r="Y16">
        <f>HYPERLINK("https://klasma.github.io/Logging_1492/kartor_geotiff/A 36671-2025 georefererad karta.tif", "A 36671-2025")</f>
        <v/>
      </c>
      <c r="AA16">
        <f>HYPERLINK("https://klasma.github.io/Logging_1492/klagomål/A 36671-2025 FSC-klagomål.docx", "A 36671-2025")</f>
        <v/>
      </c>
      <c r="AB16">
        <f>HYPERLINK("https://klasma.github.io/Logging_1492/klagomålsmail/A 36671-2025 FSC-klagomål mail.docx", "A 36671-2025")</f>
        <v/>
      </c>
      <c r="AC16">
        <f>HYPERLINK("https://klasma.github.io/Logging_1492/tillsyn/A 36671-2025 tillsynsbegäran.docx", "A 36671-2025")</f>
        <v/>
      </c>
      <c r="AD16">
        <f>HYPERLINK("https://klasma.github.io/Logging_1492/tillsynsmail/A 36671-2025 tillsynsbegäran mail.docx", "A 36671-2025")</f>
        <v/>
      </c>
    </row>
    <row r="17" ht="15" customHeight="1">
      <c r="A17" t="inlineStr">
        <is>
          <t>A 42774-2022</t>
        </is>
      </c>
      <c r="B17" t="inlineStr">
        <is>
          <t>avverkningsanmälan</t>
        </is>
      </c>
      <c r="C17" t="inlineStr">
        <is>
          <t>Föryngringsavverkning</t>
        </is>
      </c>
      <c r="D17" s="1" t="n">
        <v>44832</v>
      </c>
      <c r="E17" s="1" t="n">
        <v>46313</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46313</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46313</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64999-2021</t>
        </is>
      </c>
      <c r="B20" t="inlineStr">
        <is>
          <t>avverkningsanmälan</t>
        </is>
      </c>
      <c r="C20" t="inlineStr">
        <is>
          <t>Föryngringsavverkning</t>
        </is>
      </c>
      <c r="D20" s="1" t="n">
        <v>44514</v>
      </c>
      <c r="E20" s="1" t="n">
        <v>46313</v>
      </c>
      <c r="F20" t="inlineStr">
        <is>
          <t>VÄSTRA GÖTALANDS LÄN</t>
        </is>
      </c>
      <c r="G20" t="inlineStr">
        <is>
          <t>ÅMÅL</t>
        </is>
      </c>
      <c r="I20" t="n">
        <v>5</v>
      </c>
      <c r="J20" t="n">
        <v>0</v>
      </c>
      <c r="K20" t="n">
        <v>0</v>
      </c>
      <c r="L20" t="n">
        <v>0</v>
      </c>
      <c r="M20" t="n">
        <v>0</v>
      </c>
      <c r="N20" t="n">
        <v>0</v>
      </c>
      <c r="O20" t="n">
        <v>0</v>
      </c>
      <c r="P20" t="n">
        <v>0</v>
      </c>
      <c r="Q20" t="n">
        <v>0</v>
      </c>
      <c r="R20" t="n">
        <v>0</v>
      </c>
      <c r="S20" t="n">
        <v>0</v>
      </c>
      <c r="T20" t="n">
        <v>0</v>
      </c>
      <c r="U20" t="n">
        <v>0</v>
      </c>
      <c r="V20" s="2" t="inlineStr"/>
    </row>
    <row r="21" ht="15" customHeight="1">
      <c r="A21" t="inlineStr">
        <is>
          <t>A 909-2022</t>
        </is>
      </c>
      <c r="B21" t="inlineStr">
        <is>
          <t>avverkningsanmälan</t>
        </is>
      </c>
      <c r="C21" t="inlineStr">
        <is>
          <t>Föryngringsavverkning</t>
        </is>
      </c>
      <c r="D21" s="1" t="n">
        <v>44571</v>
      </c>
      <c r="E21" s="1" t="n">
        <v>46313</v>
      </c>
      <c r="F21" t="inlineStr">
        <is>
          <t>VÄSTRA GÖTALANDS LÄN</t>
        </is>
      </c>
      <c r="G21" t="inlineStr">
        <is>
          <t>ÅMÅL</t>
        </is>
      </c>
      <c r="I21" t="n">
        <v>1.2</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46313</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46313</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46313</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46313</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46313</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46313</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46313</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46313</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46313</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46313</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46313</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46313</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48433-2022</t>
        </is>
      </c>
      <c r="B34" t="inlineStr">
        <is>
          <t>avverkningsanmälan</t>
        </is>
      </c>
      <c r="C34" t="inlineStr">
        <is>
          <t>Föryngringsavverkning</t>
        </is>
      </c>
      <c r="D34" s="1" t="n">
        <v>44858</v>
      </c>
      <c r="E34" s="1" t="n">
        <v>46313</v>
      </c>
      <c r="F34" t="inlineStr">
        <is>
          <t>VÄSTRA GÖTALANDS LÄN</t>
        </is>
      </c>
      <c r="G34" t="inlineStr">
        <is>
          <t>ÅMÅL</t>
        </is>
      </c>
      <c r="I34" t="n">
        <v>1.5</v>
      </c>
      <c r="J34" t="n">
        <v>0</v>
      </c>
      <c r="K34" t="n">
        <v>0</v>
      </c>
      <c r="L34" t="n">
        <v>0</v>
      </c>
      <c r="M34" t="n">
        <v>0</v>
      </c>
      <c r="N34" t="n">
        <v>0</v>
      </c>
      <c r="O34" t="n">
        <v>0</v>
      </c>
      <c r="P34" t="n">
        <v>0</v>
      </c>
      <c r="Q34" t="n">
        <v>0</v>
      </c>
      <c r="R34" t="n">
        <v>0</v>
      </c>
      <c r="S34" t="n">
        <v>0</v>
      </c>
      <c r="T34" t="n">
        <v>0</v>
      </c>
      <c r="U34" t="n">
        <v>0</v>
      </c>
      <c r="V34" s="2" t="inlineStr"/>
    </row>
    <row r="35" ht="15" customHeight="1">
      <c r="A35" t="inlineStr">
        <is>
          <t>A 36289-2024</t>
        </is>
      </c>
      <c r="B35" t="inlineStr">
        <is>
          <t>avverkningsanmälan</t>
        </is>
      </c>
      <c r="C35" t="inlineStr">
        <is>
          <t>Föryngringsavverkning</t>
        </is>
      </c>
      <c r="D35" s="1" t="n">
        <v>45534</v>
      </c>
      <c r="E35" s="1" t="n">
        <v>46313</v>
      </c>
      <c r="F35" t="inlineStr">
        <is>
          <t>VÄSTRA GÖTALANDS LÄN</t>
        </is>
      </c>
      <c r="G35" t="inlineStr">
        <is>
          <t>ÅMÅL</t>
        </is>
      </c>
      <c r="H35" t="inlineStr">
        <is>
          <t>Bergvik skog väst AB</t>
        </is>
      </c>
      <c r="I35" t="n">
        <v>11.2</v>
      </c>
      <c r="J35" t="n">
        <v>0</v>
      </c>
      <c r="K35" t="n">
        <v>0</v>
      </c>
      <c r="L35" t="n">
        <v>0</v>
      </c>
      <c r="M35" t="n">
        <v>0</v>
      </c>
      <c r="N35" t="n">
        <v>0</v>
      </c>
      <c r="O35" t="n">
        <v>0</v>
      </c>
      <c r="P35" t="n">
        <v>0</v>
      </c>
      <c r="Q35" t="n">
        <v>0</v>
      </c>
      <c r="R35" t="n">
        <v>0</v>
      </c>
      <c r="S35" t="n">
        <v>0</v>
      </c>
      <c r="T35" t="n">
        <v>0</v>
      </c>
      <c r="U35" t="n">
        <v>0</v>
      </c>
      <c r="V35" s="2" t="inlineStr"/>
    </row>
    <row r="36" ht="15" customHeight="1">
      <c r="A36" t="inlineStr">
        <is>
          <t>A 21324-2022</t>
        </is>
      </c>
      <c r="B36" t="inlineStr">
        <is>
          <t>avverkningsanmälan</t>
        </is>
      </c>
      <c r="C36" t="inlineStr">
        <is>
          <t>Föryngringsavverkning</t>
        </is>
      </c>
      <c r="D36" s="1" t="n">
        <v>44705</v>
      </c>
      <c r="E36" s="1" t="n">
        <v>46313</v>
      </c>
      <c r="F36" t="inlineStr">
        <is>
          <t>VÄSTRA GÖTALANDS LÄN</t>
        </is>
      </c>
      <c r="G36" t="inlineStr">
        <is>
          <t>ÅMÅL</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46313</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47702-2024</t>
        </is>
      </c>
      <c r="B38" t="inlineStr">
        <is>
          <t>avverkningsanmälan</t>
        </is>
      </c>
      <c r="C38" t="inlineStr">
        <is>
          <t>Föryngringsavverkning</t>
        </is>
      </c>
      <c r="D38" s="1" t="n">
        <v>45588</v>
      </c>
      <c r="E38" s="1" t="n">
        <v>46313</v>
      </c>
      <c r="F38" t="inlineStr">
        <is>
          <t>VÄSTRA GÖTALANDS LÄN</t>
        </is>
      </c>
      <c r="G38" t="inlineStr">
        <is>
          <t>ÅMÅL</t>
        </is>
      </c>
      <c r="I38" t="n">
        <v>2.4</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46313</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46313</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8176-2023</t>
        </is>
      </c>
      <c r="B41" t="inlineStr">
        <is>
          <t>avverkningsanmälan</t>
        </is>
      </c>
      <c r="C41" t="inlineStr">
        <is>
          <t>Föryngringsavverkning</t>
        </is>
      </c>
      <c r="D41" s="1" t="n">
        <v>44974</v>
      </c>
      <c r="E41" s="1" t="n">
        <v>46313</v>
      </c>
      <c r="F41" t="inlineStr">
        <is>
          <t>VÄSTRA GÖTALANDS LÄN</t>
        </is>
      </c>
      <c r="G41" t="inlineStr">
        <is>
          <t>ÅMÅL</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45313-2023</t>
        </is>
      </c>
      <c r="B42" t="inlineStr">
        <is>
          <t>avverkningsanmälan</t>
        </is>
      </c>
      <c r="C42" t="inlineStr">
        <is>
          <t>Föryngringsavverkning</t>
        </is>
      </c>
      <c r="D42" s="1" t="n">
        <v>45191</v>
      </c>
      <c r="E42" s="1" t="n">
        <v>46313</v>
      </c>
      <c r="F42" t="inlineStr">
        <is>
          <t>VÄSTRA GÖTALANDS LÄN</t>
        </is>
      </c>
      <c r="G42" t="inlineStr">
        <is>
          <t>ÅMÅL</t>
        </is>
      </c>
      <c r="I42" t="n">
        <v>1.4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46313</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46313</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11916-2023</t>
        </is>
      </c>
      <c r="B45" t="inlineStr">
        <is>
          <t>avverkningsanmälan</t>
        </is>
      </c>
      <c r="C45" t="inlineStr">
        <is>
          <t>Föryngringsavverkning</t>
        </is>
      </c>
      <c r="D45" s="1" t="n">
        <v>44995</v>
      </c>
      <c r="E45" s="1" t="n">
        <v>46313</v>
      </c>
      <c r="F45" t="inlineStr">
        <is>
          <t>VÄSTRA GÖTALANDS LÄN</t>
        </is>
      </c>
      <c r="G45" t="inlineStr">
        <is>
          <t>ÅMÅL</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10837-2024</t>
        </is>
      </c>
      <c r="B46" t="inlineStr">
        <is>
          <t>avverkningsanmälan</t>
        </is>
      </c>
      <c r="C46" t="inlineStr">
        <is>
          <t>Föryngringsavverkning</t>
        </is>
      </c>
      <c r="D46" s="1" t="n">
        <v>45369</v>
      </c>
      <c r="E46" s="1" t="n">
        <v>46313</v>
      </c>
      <c r="F46" t="inlineStr">
        <is>
          <t>VÄSTRA GÖTALANDS LÄN</t>
        </is>
      </c>
      <c r="G46" t="inlineStr">
        <is>
          <t>ÅMÅL</t>
        </is>
      </c>
      <c r="I46" t="n">
        <v>9</v>
      </c>
      <c r="J46" t="n">
        <v>0</v>
      </c>
      <c r="K46" t="n">
        <v>0</v>
      </c>
      <c r="L46" t="n">
        <v>0</v>
      </c>
      <c r="M46" t="n">
        <v>0</v>
      </c>
      <c r="N46" t="n">
        <v>0</v>
      </c>
      <c r="O46" t="n">
        <v>0</v>
      </c>
      <c r="P46" t="n">
        <v>0</v>
      </c>
      <c r="Q46" t="n">
        <v>0</v>
      </c>
      <c r="R46" t="n">
        <v>0</v>
      </c>
      <c r="S46" t="n">
        <v>0</v>
      </c>
      <c r="T46" t="n">
        <v>0</v>
      </c>
      <c r="U46" t="n">
        <v>0</v>
      </c>
      <c r="V46" s="2" t="inlineStr"/>
    </row>
    <row r="47" ht="15" customHeight="1">
      <c r="A47" t="inlineStr">
        <is>
          <t>A 4696-2024</t>
        </is>
      </c>
      <c r="B47" t="inlineStr">
        <is>
          <t>avverkningsanmälan</t>
        </is>
      </c>
      <c r="C47" t="inlineStr">
        <is>
          <t>Föryngringsavverkning</t>
        </is>
      </c>
      <c r="D47" s="1" t="n">
        <v>45328</v>
      </c>
      <c r="E47" s="1" t="n">
        <v>46313</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57957-2023</t>
        </is>
      </c>
      <c r="B48" t="inlineStr">
        <is>
          <t>avverkningsanmälan</t>
        </is>
      </c>
      <c r="C48" t="inlineStr">
        <is>
          <t>Föryngringsavverkning</t>
        </is>
      </c>
      <c r="D48" s="1" t="n">
        <v>45247</v>
      </c>
      <c r="E48" s="1" t="n">
        <v>46313</v>
      </c>
      <c r="F48" t="inlineStr">
        <is>
          <t>VÄSTRA GÖTALANDS LÄN</t>
        </is>
      </c>
      <c r="G48" t="inlineStr">
        <is>
          <t>ÅMÅL</t>
        </is>
      </c>
      <c r="I48" t="n">
        <v>8</v>
      </c>
      <c r="J48" t="n">
        <v>0</v>
      </c>
      <c r="K48" t="n">
        <v>0</v>
      </c>
      <c r="L48" t="n">
        <v>0</v>
      </c>
      <c r="M48" t="n">
        <v>0</v>
      </c>
      <c r="N48" t="n">
        <v>0</v>
      </c>
      <c r="O48" t="n">
        <v>0</v>
      </c>
      <c r="P48" t="n">
        <v>0</v>
      </c>
      <c r="Q48" t="n">
        <v>0</v>
      </c>
      <c r="R48" t="n">
        <v>0</v>
      </c>
      <c r="S48" t="n">
        <v>0</v>
      </c>
      <c r="T48" t="n">
        <v>0</v>
      </c>
      <c r="U48" t="n">
        <v>0</v>
      </c>
      <c r="V48" s="2" t="inlineStr"/>
    </row>
    <row r="49" ht="15" customHeight="1">
      <c r="A49" t="inlineStr">
        <is>
          <t>A 57296-2024</t>
        </is>
      </c>
      <c r="B49" t="inlineStr">
        <is>
          <t>avverkningsanmälan</t>
        </is>
      </c>
      <c r="C49" t="inlineStr">
        <is>
          <t>Föryngringsavverkning</t>
        </is>
      </c>
      <c r="D49" s="1" t="n">
        <v>45629</v>
      </c>
      <c r="E49" s="1" t="n">
        <v>46313</v>
      </c>
      <c r="F49" t="inlineStr">
        <is>
          <t>VÄSTRA GÖTALANDS LÄN</t>
        </is>
      </c>
      <c r="G49" t="inlineStr">
        <is>
          <t>ÅMÅL</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8307-2024</t>
        </is>
      </c>
      <c r="B50" t="inlineStr">
        <is>
          <t>avverkningsanmälan</t>
        </is>
      </c>
      <c r="C50" t="inlineStr">
        <is>
          <t>Föryngringsavverkning</t>
        </is>
      </c>
      <c r="D50" s="1" t="n">
        <v>45350</v>
      </c>
      <c r="E50" s="1" t="n">
        <v>46313</v>
      </c>
      <c r="F50" t="inlineStr">
        <is>
          <t>VÄSTRA GÖTALANDS LÄN</t>
        </is>
      </c>
      <c r="G50" t="inlineStr">
        <is>
          <t>ÅMÅL</t>
        </is>
      </c>
      <c r="H50" t="inlineStr">
        <is>
          <t>Bergvik skog väst AB</t>
        </is>
      </c>
      <c r="I50" t="n">
        <v>1.7</v>
      </c>
      <c r="J50" t="n">
        <v>0</v>
      </c>
      <c r="K50" t="n">
        <v>0</v>
      </c>
      <c r="L50" t="n">
        <v>0</v>
      </c>
      <c r="M50" t="n">
        <v>0</v>
      </c>
      <c r="N50" t="n">
        <v>0</v>
      </c>
      <c r="O50" t="n">
        <v>0</v>
      </c>
      <c r="P50" t="n">
        <v>0</v>
      </c>
      <c r="Q50" t="n">
        <v>0</v>
      </c>
      <c r="R50" t="n">
        <v>0</v>
      </c>
      <c r="S50" t="n">
        <v>0</v>
      </c>
      <c r="T50" t="n">
        <v>0</v>
      </c>
      <c r="U50" t="n">
        <v>0</v>
      </c>
      <c r="V50" s="2" t="inlineStr"/>
    </row>
    <row r="51" ht="15" customHeight="1">
      <c r="A51" t="inlineStr">
        <is>
          <t>A 2199-2024</t>
        </is>
      </c>
      <c r="B51" t="inlineStr">
        <is>
          <t>avverkningsanmälan</t>
        </is>
      </c>
      <c r="C51" t="inlineStr">
        <is>
          <t>Föryngringsavverkning</t>
        </is>
      </c>
      <c r="D51" s="1" t="n">
        <v>45309</v>
      </c>
      <c r="E51" s="1" t="n">
        <v>46313</v>
      </c>
      <c r="F51" t="inlineStr">
        <is>
          <t>VÄSTRA GÖTALANDS LÄN</t>
        </is>
      </c>
      <c r="G51" t="inlineStr">
        <is>
          <t>ÅMÅL</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61092-2021</t>
        </is>
      </c>
      <c r="B52" t="inlineStr">
        <is>
          <t>avverkningsanmälan</t>
        </is>
      </c>
      <c r="C52" t="inlineStr">
        <is>
          <t>Föryngringsavverkning</t>
        </is>
      </c>
      <c r="D52" s="1" t="n">
        <v>44498</v>
      </c>
      <c r="E52" s="1" t="n">
        <v>46313</v>
      </c>
      <c r="F52" t="inlineStr">
        <is>
          <t>VÄSTRA GÖTALANDS LÄN</t>
        </is>
      </c>
      <c r="G52" t="inlineStr">
        <is>
          <t>ÅMÅL</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43113-2024</t>
        </is>
      </c>
      <c r="B53" t="inlineStr">
        <is>
          <t>avverkningsanmälan</t>
        </is>
      </c>
      <c r="C53" t="inlineStr">
        <is>
          <t>Föryngringsavverkning</t>
        </is>
      </c>
      <c r="D53" s="1" t="n">
        <v>45567</v>
      </c>
      <c r="E53" s="1" t="n">
        <v>46313</v>
      </c>
      <c r="F53" t="inlineStr">
        <is>
          <t>VÄSTRA GÖTALANDS LÄN</t>
        </is>
      </c>
      <c r="G53" t="inlineStr">
        <is>
          <t>ÅMÅL</t>
        </is>
      </c>
      <c r="I53" t="n">
        <v>8.699999999999999</v>
      </c>
      <c r="J53" t="n">
        <v>0</v>
      </c>
      <c r="K53" t="n">
        <v>0</v>
      </c>
      <c r="L53" t="n">
        <v>0</v>
      </c>
      <c r="M53" t="n">
        <v>0</v>
      </c>
      <c r="N53" t="n">
        <v>0</v>
      </c>
      <c r="O53" t="n">
        <v>0</v>
      </c>
      <c r="P53" t="n">
        <v>0</v>
      </c>
      <c r="Q53" t="n">
        <v>0</v>
      </c>
      <c r="R53" t="n">
        <v>0</v>
      </c>
      <c r="S53" t="n">
        <v>0</v>
      </c>
      <c r="T53" t="n">
        <v>0</v>
      </c>
      <c r="U53" t="n">
        <v>0</v>
      </c>
      <c r="V53" s="2" t="inlineStr"/>
    </row>
    <row r="54" ht="15" customHeight="1">
      <c r="A54" t="inlineStr">
        <is>
          <t>A 34112-2023</t>
        </is>
      </c>
      <c r="B54" t="inlineStr">
        <is>
          <t>avverkningsanmälan</t>
        </is>
      </c>
      <c r="C54" t="inlineStr">
        <is>
          <t>Föryngringsavverkning</t>
        </is>
      </c>
      <c r="D54" s="1" t="n">
        <v>45126</v>
      </c>
      <c r="E54" s="1" t="n">
        <v>46313</v>
      </c>
      <c r="F54" t="inlineStr">
        <is>
          <t>VÄSTRA GÖTALANDS LÄN</t>
        </is>
      </c>
      <c r="G54" t="inlineStr">
        <is>
          <t>ÅMÅL</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29995-2023</t>
        </is>
      </c>
      <c r="B55" t="inlineStr">
        <is>
          <t>avverkningsanmälan</t>
        </is>
      </c>
      <c r="C55" t="inlineStr">
        <is>
          <t>Föryngringsavverkning</t>
        </is>
      </c>
      <c r="D55" s="1" t="n">
        <v>45109</v>
      </c>
      <c r="E55" s="1" t="n">
        <v>46313</v>
      </c>
      <c r="F55" t="inlineStr">
        <is>
          <t>VÄSTRA GÖTALANDS LÄN</t>
        </is>
      </c>
      <c r="G55" t="inlineStr">
        <is>
          <t>ÅMÅL</t>
        </is>
      </c>
      <c r="I55" t="n">
        <v>7.4</v>
      </c>
      <c r="J55" t="n">
        <v>0</v>
      </c>
      <c r="K55" t="n">
        <v>0</v>
      </c>
      <c r="L55" t="n">
        <v>0</v>
      </c>
      <c r="M55" t="n">
        <v>0</v>
      </c>
      <c r="N55" t="n">
        <v>0</v>
      </c>
      <c r="O55" t="n">
        <v>0</v>
      </c>
      <c r="P55" t="n">
        <v>0</v>
      </c>
      <c r="Q55" t="n">
        <v>0</v>
      </c>
      <c r="R55" t="n">
        <v>0</v>
      </c>
      <c r="S55" t="n">
        <v>0</v>
      </c>
      <c r="T55" t="n">
        <v>0</v>
      </c>
      <c r="U55" t="n">
        <v>0</v>
      </c>
      <c r="V55" s="2" t="inlineStr"/>
    </row>
    <row r="56" ht="15" customHeight="1">
      <c r="A56" t="inlineStr">
        <is>
          <t>A 39534-2024</t>
        </is>
      </c>
      <c r="B56" t="inlineStr">
        <is>
          <t>avverkningsanmälan</t>
        </is>
      </c>
      <c r="C56" t="inlineStr">
        <is>
          <t>Föryngringsavverkning</t>
        </is>
      </c>
      <c r="D56" s="1" t="n">
        <v>45551</v>
      </c>
      <c r="E56" s="1" t="n">
        <v>46313</v>
      </c>
      <c r="F56" t="inlineStr">
        <is>
          <t>VÄSTRA GÖTALANDS LÄN</t>
        </is>
      </c>
      <c r="G56" t="inlineStr">
        <is>
          <t>ÅMÅL</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57710-2022</t>
        </is>
      </c>
      <c r="B57" t="inlineStr">
        <is>
          <t>avverkningsanmälan</t>
        </is>
      </c>
      <c r="C57" t="inlineStr">
        <is>
          <t>Föryngringsavverkning</t>
        </is>
      </c>
      <c r="D57" s="1" t="n">
        <v>44897</v>
      </c>
      <c r="E57" s="1" t="n">
        <v>46313</v>
      </c>
      <c r="F57" t="inlineStr">
        <is>
          <t>VÄSTRA GÖTALANDS LÄN</t>
        </is>
      </c>
      <c r="G57" t="inlineStr">
        <is>
          <t>ÅMÅL</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57720-2023</t>
        </is>
      </c>
      <c r="B58" t="inlineStr">
        <is>
          <t>avverkningsanmälan</t>
        </is>
      </c>
      <c r="C58" t="inlineStr">
        <is>
          <t>Föryngringsavverkning</t>
        </is>
      </c>
      <c r="D58" s="1" t="n">
        <v>45246</v>
      </c>
      <c r="E58" s="1" t="n">
        <v>46313</v>
      </c>
      <c r="F58" t="inlineStr">
        <is>
          <t>VÄSTRA GÖTALANDS LÄN</t>
        </is>
      </c>
      <c r="G58" t="inlineStr">
        <is>
          <t>ÅMÅL</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705-2024</t>
        </is>
      </c>
      <c r="B59" t="inlineStr">
        <is>
          <t>avverkningsanmälan</t>
        </is>
      </c>
      <c r="C59" t="inlineStr">
        <is>
          <t>Föryngringsavverkning</t>
        </is>
      </c>
      <c r="D59" s="1" t="n">
        <v>45300</v>
      </c>
      <c r="E59" s="1" t="n">
        <v>46313</v>
      </c>
      <c r="F59" t="inlineStr">
        <is>
          <t>VÄSTRA GÖTALANDS LÄN</t>
        </is>
      </c>
      <c r="G59" t="inlineStr">
        <is>
          <t>ÅMÅL</t>
        </is>
      </c>
      <c r="H59" t="inlineStr">
        <is>
          <t>Kyrkan</t>
        </is>
      </c>
      <c r="I59" t="n">
        <v>2.7</v>
      </c>
      <c r="J59" t="n">
        <v>0</v>
      </c>
      <c r="K59" t="n">
        <v>0</v>
      </c>
      <c r="L59" t="n">
        <v>0</v>
      </c>
      <c r="M59" t="n">
        <v>0</v>
      </c>
      <c r="N59" t="n">
        <v>0</v>
      </c>
      <c r="O59" t="n">
        <v>0</v>
      </c>
      <c r="P59" t="n">
        <v>0</v>
      </c>
      <c r="Q59" t="n">
        <v>0</v>
      </c>
      <c r="R59" t="n">
        <v>0</v>
      </c>
      <c r="S59" t="n">
        <v>0</v>
      </c>
      <c r="T59" t="n">
        <v>0</v>
      </c>
      <c r="U59" t="n">
        <v>0</v>
      </c>
      <c r="V59" s="2" t="inlineStr"/>
    </row>
    <row r="60" ht="15" customHeight="1">
      <c r="A60" t="inlineStr">
        <is>
          <t>A 61814-2022</t>
        </is>
      </c>
      <c r="B60" t="inlineStr">
        <is>
          <t>avverkningsanmälan</t>
        </is>
      </c>
      <c r="C60" t="inlineStr">
        <is>
          <t>Föryngringsavverkning</t>
        </is>
      </c>
      <c r="D60" s="1" t="n">
        <v>44917</v>
      </c>
      <c r="E60" s="1" t="n">
        <v>46313</v>
      </c>
      <c r="F60" t="inlineStr">
        <is>
          <t>VÄSTRA GÖTALANDS LÄN</t>
        </is>
      </c>
      <c r="G60" t="inlineStr">
        <is>
          <t>ÅMÅL</t>
        </is>
      </c>
      <c r="I60" t="n">
        <v>2.7</v>
      </c>
      <c r="J60" t="n">
        <v>0</v>
      </c>
      <c r="K60" t="n">
        <v>0</v>
      </c>
      <c r="L60" t="n">
        <v>0</v>
      </c>
      <c r="M60" t="n">
        <v>0</v>
      </c>
      <c r="N60" t="n">
        <v>0</v>
      </c>
      <c r="O60" t="n">
        <v>0</v>
      </c>
      <c r="P60" t="n">
        <v>0</v>
      </c>
      <c r="Q60" t="n">
        <v>0</v>
      </c>
      <c r="R60" t="n">
        <v>0</v>
      </c>
      <c r="S60" t="n">
        <v>0</v>
      </c>
      <c r="T60" t="n">
        <v>0</v>
      </c>
      <c r="U60" t="n">
        <v>0</v>
      </c>
      <c r="V60" s="2" t="inlineStr"/>
    </row>
    <row r="61" ht="15" customHeight="1">
      <c r="A61" t="inlineStr">
        <is>
          <t>A 12322-2023</t>
        </is>
      </c>
      <c r="B61" t="inlineStr">
        <is>
          <t>avverkningsanmälan</t>
        </is>
      </c>
      <c r="C61" t="inlineStr">
        <is>
          <t>Föryngringsavverkning</t>
        </is>
      </c>
      <c r="D61" s="1" t="n">
        <v>44999</v>
      </c>
      <c r="E61" s="1" t="n">
        <v>46313</v>
      </c>
      <c r="F61" t="inlineStr">
        <is>
          <t>VÄSTRA GÖTALANDS LÄN</t>
        </is>
      </c>
      <c r="G61" t="inlineStr">
        <is>
          <t>ÅMÅL</t>
        </is>
      </c>
      <c r="I61" t="n">
        <v>5.2</v>
      </c>
      <c r="J61" t="n">
        <v>0</v>
      </c>
      <c r="K61" t="n">
        <v>0</v>
      </c>
      <c r="L61" t="n">
        <v>0</v>
      </c>
      <c r="M61" t="n">
        <v>0</v>
      </c>
      <c r="N61" t="n">
        <v>0</v>
      </c>
      <c r="O61" t="n">
        <v>0</v>
      </c>
      <c r="P61" t="n">
        <v>0</v>
      </c>
      <c r="Q61" t="n">
        <v>0</v>
      </c>
      <c r="R61" t="n">
        <v>0</v>
      </c>
      <c r="S61" t="n">
        <v>0</v>
      </c>
      <c r="T61" t="n">
        <v>0</v>
      </c>
      <c r="U61" t="n">
        <v>0</v>
      </c>
      <c r="V61" s="2" t="inlineStr"/>
    </row>
    <row r="62" ht="15" customHeight="1">
      <c r="A62" t="inlineStr">
        <is>
          <t>A 28143-2023</t>
        </is>
      </c>
      <c r="B62" t="inlineStr">
        <is>
          <t>avverkningsanmälan</t>
        </is>
      </c>
      <c r="C62" t="inlineStr">
        <is>
          <t>Föryngringsavverkning</t>
        </is>
      </c>
      <c r="D62" s="1" t="n">
        <v>45099</v>
      </c>
      <c r="E62" s="1" t="n">
        <v>46313</v>
      </c>
      <c r="F62" t="inlineStr">
        <is>
          <t>VÄSTRA GÖTALANDS LÄN</t>
        </is>
      </c>
      <c r="G62" t="inlineStr">
        <is>
          <t>ÅMÅL</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7086-2022</t>
        </is>
      </c>
      <c r="B63" t="inlineStr">
        <is>
          <t>avverkningsanmälan</t>
        </is>
      </c>
      <c r="C63" t="inlineStr">
        <is>
          <t>Föryngringsavverkning</t>
        </is>
      </c>
      <c r="D63" s="1" t="n">
        <v>44603</v>
      </c>
      <c r="E63" s="1" t="n">
        <v>46313</v>
      </c>
      <c r="F63" t="inlineStr">
        <is>
          <t>VÄSTRA GÖTALANDS LÄN</t>
        </is>
      </c>
      <c r="G63" t="inlineStr">
        <is>
          <t>ÅMÅL</t>
        </is>
      </c>
      <c r="I63" t="n">
        <v>1.8</v>
      </c>
      <c r="J63" t="n">
        <v>0</v>
      </c>
      <c r="K63" t="n">
        <v>0</v>
      </c>
      <c r="L63" t="n">
        <v>0</v>
      </c>
      <c r="M63" t="n">
        <v>0</v>
      </c>
      <c r="N63" t="n">
        <v>0</v>
      </c>
      <c r="O63" t="n">
        <v>0</v>
      </c>
      <c r="P63" t="n">
        <v>0</v>
      </c>
      <c r="Q63" t="n">
        <v>0</v>
      </c>
      <c r="R63" t="n">
        <v>0</v>
      </c>
      <c r="S63" t="n">
        <v>0</v>
      </c>
      <c r="T63" t="n">
        <v>0</v>
      </c>
      <c r="U63" t="n">
        <v>0</v>
      </c>
      <c r="V63" s="2" t="inlineStr"/>
    </row>
    <row r="64" ht="15" customHeight="1">
      <c r="A64" t="inlineStr">
        <is>
          <t>A 16359-2025</t>
        </is>
      </c>
      <c r="B64" t="inlineStr">
        <is>
          <t>avverkningsanmälan</t>
        </is>
      </c>
      <c r="C64" t="inlineStr">
        <is>
          <t>Föryngringsavverkning</t>
        </is>
      </c>
      <c r="D64" s="1" t="n">
        <v>45751</v>
      </c>
      <c r="E64" s="1" t="n">
        <v>46313</v>
      </c>
      <c r="F64" t="inlineStr">
        <is>
          <t>VÄSTRA GÖTALANDS LÄN</t>
        </is>
      </c>
      <c r="G64" t="inlineStr">
        <is>
          <t>ÅMÅL</t>
        </is>
      </c>
      <c r="I64" t="n">
        <v>2.3</v>
      </c>
      <c r="J64" t="n">
        <v>0</v>
      </c>
      <c r="K64" t="n">
        <v>0</v>
      </c>
      <c r="L64" t="n">
        <v>0</v>
      </c>
      <c r="M64" t="n">
        <v>0</v>
      </c>
      <c r="N64" t="n">
        <v>0</v>
      </c>
      <c r="O64" t="n">
        <v>0</v>
      </c>
      <c r="P64" t="n">
        <v>0</v>
      </c>
      <c r="Q64" t="n">
        <v>0</v>
      </c>
      <c r="R64" t="n">
        <v>0</v>
      </c>
      <c r="S64" t="n">
        <v>0</v>
      </c>
      <c r="T64" t="n">
        <v>0</v>
      </c>
      <c r="U64" t="n">
        <v>0</v>
      </c>
      <c r="V64" s="2" t="inlineStr"/>
    </row>
    <row r="65" ht="15" customHeight="1">
      <c r="A65" t="inlineStr">
        <is>
          <t>A 48365-2023</t>
        </is>
      </c>
      <c r="B65" t="inlineStr">
        <is>
          <t>avverkningsanmälan</t>
        </is>
      </c>
      <c r="C65" t="inlineStr">
        <is>
          <t>Föryngringsavverkning</t>
        </is>
      </c>
      <c r="D65" s="1" t="n">
        <v>45205</v>
      </c>
      <c r="E65" s="1" t="n">
        <v>46313</v>
      </c>
      <c r="F65" t="inlineStr">
        <is>
          <t>VÄSTRA GÖTALANDS LÄN</t>
        </is>
      </c>
      <c r="G65" t="inlineStr">
        <is>
          <t>ÅMÅL</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56210-2022</t>
        </is>
      </c>
      <c r="B66" t="inlineStr">
        <is>
          <t>avverkningsanmälan</t>
        </is>
      </c>
      <c r="C66" t="inlineStr">
        <is>
          <t>Föryngringsavverkning</t>
        </is>
      </c>
      <c r="D66" s="1" t="n">
        <v>44890</v>
      </c>
      <c r="E66" s="1" t="n">
        <v>46313</v>
      </c>
      <c r="F66" t="inlineStr">
        <is>
          <t>VÄSTRA GÖTALANDS LÄN</t>
        </is>
      </c>
      <c r="G66" t="inlineStr">
        <is>
          <t>ÅMÅL</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2457-2025</t>
        </is>
      </c>
      <c r="B67" t="inlineStr">
        <is>
          <t>avverkningsanmälan</t>
        </is>
      </c>
      <c r="C67" t="inlineStr">
        <is>
          <t>Föryngringsavverkning</t>
        </is>
      </c>
      <c r="D67" s="1" t="n">
        <v>45674</v>
      </c>
      <c r="E67" s="1" t="n">
        <v>46313</v>
      </c>
      <c r="F67" t="inlineStr">
        <is>
          <t>VÄSTRA GÖTALANDS LÄN</t>
        </is>
      </c>
      <c r="G67" t="inlineStr">
        <is>
          <t>ÅMÅL</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70328-2021</t>
        </is>
      </c>
      <c r="B68" t="inlineStr">
        <is>
          <t>avverkningsanmälan</t>
        </is>
      </c>
      <c r="C68" t="inlineStr">
        <is>
          <t>Föryngringsavverkning</t>
        </is>
      </c>
      <c r="D68" s="1" t="n">
        <v>44536</v>
      </c>
      <c r="E68" s="1" t="n">
        <v>46313</v>
      </c>
      <c r="F68" t="inlineStr">
        <is>
          <t>VÄSTRA GÖTALANDS LÄN</t>
        </is>
      </c>
      <c r="G68" t="inlineStr">
        <is>
          <t>ÅMÅL</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4862-2024</t>
        </is>
      </c>
      <c r="B69" t="inlineStr">
        <is>
          <t>avverkningsanmälan</t>
        </is>
      </c>
      <c r="C69" t="inlineStr">
        <is>
          <t>Föryngringsavverkning</t>
        </is>
      </c>
      <c r="D69" s="1" t="n">
        <v>45329</v>
      </c>
      <c r="E69" s="1" t="n">
        <v>46313</v>
      </c>
      <c r="F69" t="inlineStr">
        <is>
          <t>VÄSTRA GÖTALANDS LÄN</t>
        </is>
      </c>
      <c r="G69" t="inlineStr">
        <is>
          <t>ÅMÅL</t>
        </is>
      </c>
      <c r="H69" t="inlineStr">
        <is>
          <t>Bergvik skog väst AB</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30573-2023</t>
        </is>
      </c>
      <c r="B70" t="inlineStr">
        <is>
          <t>avverkningsanmälan</t>
        </is>
      </c>
      <c r="C70" t="inlineStr">
        <is>
          <t>Föryngringsavverkning</t>
        </is>
      </c>
      <c r="D70" s="1" t="n">
        <v>45111</v>
      </c>
      <c r="E70" s="1" t="n">
        <v>46313</v>
      </c>
      <c r="F70" t="inlineStr">
        <is>
          <t>VÄSTRA GÖTALANDS LÄN</t>
        </is>
      </c>
      <c r="G70" t="inlineStr">
        <is>
          <t>ÅMÅL</t>
        </is>
      </c>
      <c r="I70" t="n">
        <v>6.5</v>
      </c>
      <c r="J70" t="n">
        <v>0</v>
      </c>
      <c r="K70" t="n">
        <v>0</v>
      </c>
      <c r="L70" t="n">
        <v>0</v>
      </c>
      <c r="M70" t="n">
        <v>0</v>
      </c>
      <c r="N70" t="n">
        <v>0</v>
      </c>
      <c r="O70" t="n">
        <v>0</v>
      </c>
      <c r="P70" t="n">
        <v>0</v>
      </c>
      <c r="Q70" t="n">
        <v>0</v>
      </c>
      <c r="R70" t="n">
        <v>0</v>
      </c>
      <c r="S70" t="n">
        <v>0</v>
      </c>
      <c r="T70" t="n">
        <v>0</v>
      </c>
      <c r="U70" t="n">
        <v>0</v>
      </c>
      <c r="V70" s="2" t="inlineStr"/>
    </row>
    <row r="71" ht="15" customHeight="1">
      <c r="A71" t="inlineStr">
        <is>
          <t>A 28880-2022</t>
        </is>
      </c>
      <c r="B71" t="inlineStr">
        <is>
          <t>avverkningsanmälan</t>
        </is>
      </c>
      <c r="C71" t="inlineStr">
        <is>
          <t>Avverkning för annat ändamål</t>
        </is>
      </c>
      <c r="D71" s="1" t="n">
        <v>44749</v>
      </c>
      <c r="E71" s="1" t="n">
        <v>46313</v>
      </c>
      <c r="F71" t="inlineStr">
        <is>
          <t>VÄSTRA GÖTALANDS LÄN</t>
        </is>
      </c>
      <c r="G71" t="inlineStr">
        <is>
          <t>ÅMÅL</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43833-2025</t>
        </is>
      </c>
      <c r="B72" t="inlineStr">
        <is>
          <t>avverkningsanmälan</t>
        </is>
      </c>
      <c r="C72" t="inlineStr">
        <is>
          <t>Föryngringsavverkning</t>
        </is>
      </c>
      <c r="D72" s="1" t="n">
        <v>45912</v>
      </c>
      <c r="E72" s="1" t="n">
        <v>46313</v>
      </c>
      <c r="F72" t="inlineStr">
        <is>
          <t>VÄSTRA GÖTALANDS LÄN</t>
        </is>
      </c>
      <c r="G72" t="inlineStr">
        <is>
          <t>ÅMÅL</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55317-2024</t>
        </is>
      </c>
      <c r="B73" t="inlineStr">
        <is>
          <t>avverkningsanmälan</t>
        </is>
      </c>
      <c r="C73" t="inlineStr">
        <is>
          <t>Föryngringsavverkning</t>
        </is>
      </c>
      <c r="D73" s="1" t="n">
        <v>45621</v>
      </c>
      <c r="E73" s="1" t="n">
        <v>46313</v>
      </c>
      <c r="F73" t="inlineStr">
        <is>
          <t>VÄSTRA GÖTALANDS LÄN</t>
        </is>
      </c>
      <c r="G73" t="inlineStr">
        <is>
          <t>ÅMÅL</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7764-2025</t>
        </is>
      </c>
      <c r="B74" t="inlineStr">
        <is>
          <t>avverkningsanmälan</t>
        </is>
      </c>
      <c r="C74" t="inlineStr">
        <is>
          <t>Föryngringsavverkning</t>
        </is>
      </c>
      <c r="D74" s="1" t="n">
        <v>45706</v>
      </c>
      <c r="E74" s="1" t="n">
        <v>46313</v>
      </c>
      <c r="F74" t="inlineStr">
        <is>
          <t>VÄSTRA GÖTALANDS LÄN</t>
        </is>
      </c>
      <c r="G74" t="inlineStr">
        <is>
          <t>ÅMÅL</t>
        </is>
      </c>
      <c r="I74" t="n">
        <v>2.7</v>
      </c>
      <c r="J74" t="n">
        <v>0</v>
      </c>
      <c r="K74" t="n">
        <v>0</v>
      </c>
      <c r="L74" t="n">
        <v>0</v>
      </c>
      <c r="M74" t="n">
        <v>0</v>
      </c>
      <c r="N74" t="n">
        <v>0</v>
      </c>
      <c r="O74" t="n">
        <v>0</v>
      </c>
      <c r="P74" t="n">
        <v>0</v>
      </c>
      <c r="Q74" t="n">
        <v>0</v>
      </c>
      <c r="R74" t="n">
        <v>0</v>
      </c>
      <c r="S74" t="n">
        <v>0</v>
      </c>
      <c r="T74" t="n">
        <v>0</v>
      </c>
      <c r="U74" t="n">
        <v>0</v>
      </c>
      <c r="V74" s="2" t="inlineStr"/>
    </row>
    <row r="75" ht="15" customHeight="1">
      <c r="A75" t="inlineStr">
        <is>
          <t>A 25748-2025</t>
        </is>
      </c>
      <c r="B75" t="inlineStr">
        <is>
          <t>avverkningsanmälan</t>
        </is>
      </c>
      <c r="C75" t="inlineStr">
        <is>
          <t>Föryngringsavverkning</t>
        </is>
      </c>
      <c r="D75" s="1" t="n">
        <v>45800</v>
      </c>
      <c r="E75" s="1" t="n">
        <v>46313</v>
      </c>
      <c r="F75" t="inlineStr">
        <is>
          <t>VÄSTRA GÖTALANDS LÄN</t>
        </is>
      </c>
      <c r="G75" t="inlineStr">
        <is>
          <t>ÅMÅL</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23670-2025</t>
        </is>
      </c>
      <c r="B76" t="inlineStr">
        <is>
          <t>avverkningsanmälan</t>
        </is>
      </c>
      <c r="C76" t="inlineStr">
        <is>
          <t>Föryngringsavverkning</t>
        </is>
      </c>
      <c r="D76" s="1" t="n">
        <v>45792</v>
      </c>
      <c r="E76" s="1" t="n">
        <v>46313</v>
      </c>
      <c r="F76" t="inlineStr">
        <is>
          <t>VÄSTRA GÖTALANDS LÄN</t>
        </is>
      </c>
      <c r="G76" t="inlineStr">
        <is>
          <t>ÅMÅL</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46518-2024</t>
        </is>
      </c>
      <c r="B77" t="inlineStr">
        <is>
          <t>avverkningsanmälan</t>
        </is>
      </c>
      <c r="C77" t="inlineStr">
        <is>
          <t>Föryngringsavverkning</t>
        </is>
      </c>
      <c r="D77" s="1" t="n">
        <v>45582</v>
      </c>
      <c r="E77" s="1" t="n">
        <v>46313</v>
      </c>
      <c r="F77" t="inlineStr">
        <is>
          <t>VÄSTRA GÖTALANDS LÄN</t>
        </is>
      </c>
      <c r="G77" t="inlineStr">
        <is>
          <t>ÅMÅL</t>
        </is>
      </c>
      <c r="I77" t="n">
        <v>5.2</v>
      </c>
      <c r="J77" t="n">
        <v>0</v>
      </c>
      <c r="K77" t="n">
        <v>0</v>
      </c>
      <c r="L77" t="n">
        <v>0</v>
      </c>
      <c r="M77" t="n">
        <v>0</v>
      </c>
      <c r="N77" t="n">
        <v>0</v>
      </c>
      <c r="O77" t="n">
        <v>0</v>
      </c>
      <c r="P77" t="n">
        <v>0</v>
      </c>
      <c r="Q77" t="n">
        <v>0</v>
      </c>
      <c r="R77" t="n">
        <v>0</v>
      </c>
      <c r="S77" t="n">
        <v>0</v>
      </c>
      <c r="T77" t="n">
        <v>0</v>
      </c>
      <c r="U77" t="n">
        <v>0</v>
      </c>
      <c r="V77" s="2" t="inlineStr"/>
    </row>
    <row r="78" ht="15" customHeight="1">
      <c r="A78" t="inlineStr">
        <is>
          <t>A 25693-2025</t>
        </is>
      </c>
      <c r="B78" t="inlineStr">
        <is>
          <t>avverkningsanmälan</t>
        </is>
      </c>
      <c r="C78" t="inlineStr">
        <is>
          <t>Föryngringsavverkning</t>
        </is>
      </c>
      <c r="D78" s="1" t="n">
        <v>45803</v>
      </c>
      <c r="E78" s="1" t="n">
        <v>46313</v>
      </c>
      <c r="F78" t="inlineStr">
        <is>
          <t>VÄSTRA GÖTALANDS LÄN</t>
        </is>
      </c>
      <c r="G78" t="inlineStr">
        <is>
          <t>ÅMÅL</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25751-2025</t>
        </is>
      </c>
      <c r="B79" t="inlineStr">
        <is>
          <t>avverkningsanmälan</t>
        </is>
      </c>
      <c r="C79" t="inlineStr">
        <is>
          <t>Föryngringsavverkning</t>
        </is>
      </c>
      <c r="D79" s="1" t="n">
        <v>45800</v>
      </c>
      <c r="E79" s="1" t="n">
        <v>46313</v>
      </c>
      <c r="F79" t="inlineStr">
        <is>
          <t>VÄSTRA GÖTALANDS LÄN</t>
        </is>
      </c>
      <c r="G79" t="inlineStr">
        <is>
          <t>ÅMÅL</t>
        </is>
      </c>
      <c r="I79" t="n">
        <v>4</v>
      </c>
      <c r="J79" t="n">
        <v>0</v>
      </c>
      <c r="K79" t="n">
        <v>0</v>
      </c>
      <c r="L79" t="n">
        <v>0</v>
      </c>
      <c r="M79" t="n">
        <v>0</v>
      </c>
      <c r="N79" t="n">
        <v>0</v>
      </c>
      <c r="O79" t="n">
        <v>0</v>
      </c>
      <c r="P79" t="n">
        <v>0</v>
      </c>
      <c r="Q79" t="n">
        <v>0</v>
      </c>
      <c r="R79" t="n">
        <v>0</v>
      </c>
      <c r="S79" t="n">
        <v>0</v>
      </c>
      <c r="T79" t="n">
        <v>0</v>
      </c>
      <c r="U79" t="n">
        <v>0</v>
      </c>
      <c r="V79" s="2" t="inlineStr"/>
    </row>
    <row r="80" ht="15" customHeight="1">
      <c r="A80" t="inlineStr">
        <is>
          <t>A 38878-2025</t>
        </is>
      </c>
      <c r="B80" t="inlineStr">
        <is>
          <t>avverkningsanmälan</t>
        </is>
      </c>
      <c r="C80" t="inlineStr">
        <is>
          <t>Föryngringsavverkning</t>
        </is>
      </c>
      <c r="D80" s="1" t="n">
        <v>45884</v>
      </c>
      <c r="E80" s="1" t="n">
        <v>46313</v>
      </c>
      <c r="F80" t="inlineStr">
        <is>
          <t>VÄSTRA GÖTALANDS LÄN</t>
        </is>
      </c>
      <c r="G80" t="inlineStr">
        <is>
          <t>ÅMÅL</t>
        </is>
      </c>
      <c r="H80" t="inlineStr">
        <is>
          <t>Bergvik skog väst AB</t>
        </is>
      </c>
      <c r="I80" t="n">
        <v>7.5</v>
      </c>
      <c r="J80" t="n">
        <v>0</v>
      </c>
      <c r="K80" t="n">
        <v>0</v>
      </c>
      <c r="L80" t="n">
        <v>0</v>
      </c>
      <c r="M80" t="n">
        <v>0</v>
      </c>
      <c r="N80" t="n">
        <v>0</v>
      </c>
      <c r="O80" t="n">
        <v>0</v>
      </c>
      <c r="P80" t="n">
        <v>0</v>
      </c>
      <c r="Q80" t="n">
        <v>0</v>
      </c>
      <c r="R80" t="n">
        <v>0</v>
      </c>
      <c r="S80" t="n">
        <v>0</v>
      </c>
      <c r="T80" t="n">
        <v>0</v>
      </c>
      <c r="U80" t="n">
        <v>0</v>
      </c>
      <c r="V80" s="2" t="inlineStr"/>
    </row>
    <row r="81" ht="15" customHeight="1">
      <c r="A81" t="inlineStr">
        <is>
          <t>A 28703-2022</t>
        </is>
      </c>
      <c r="B81" t="inlineStr">
        <is>
          <t>avverkningsanmälan</t>
        </is>
      </c>
      <c r="C81" t="inlineStr">
        <is>
          <t>Föryngringsavverkning</t>
        </is>
      </c>
      <c r="D81" s="1" t="n">
        <v>44748</v>
      </c>
      <c r="E81" s="1" t="n">
        <v>46313</v>
      </c>
      <c r="F81" t="inlineStr">
        <is>
          <t>VÄSTRA GÖTALANDS LÄN</t>
        </is>
      </c>
      <c r="G81" t="inlineStr">
        <is>
          <t>ÅMÅL</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30990-2023</t>
        </is>
      </c>
      <c r="B82" t="inlineStr">
        <is>
          <t>avverkningsanmälan</t>
        </is>
      </c>
      <c r="C82" t="inlineStr">
        <is>
          <t>Föryngringsavverkning</t>
        </is>
      </c>
      <c r="D82" s="1" t="n">
        <v>45113</v>
      </c>
      <c r="E82" s="1" t="n">
        <v>46313</v>
      </c>
      <c r="F82" t="inlineStr">
        <is>
          <t>VÄSTRA GÖTALANDS LÄN</t>
        </is>
      </c>
      <c r="G82" t="inlineStr">
        <is>
          <t>ÅMÅL</t>
        </is>
      </c>
      <c r="I82" t="n">
        <v>4.4</v>
      </c>
      <c r="J82" t="n">
        <v>0</v>
      </c>
      <c r="K82" t="n">
        <v>0</v>
      </c>
      <c r="L82" t="n">
        <v>0</v>
      </c>
      <c r="M82" t="n">
        <v>0</v>
      </c>
      <c r="N82" t="n">
        <v>0</v>
      </c>
      <c r="O82" t="n">
        <v>0</v>
      </c>
      <c r="P82" t="n">
        <v>0</v>
      </c>
      <c r="Q82" t="n">
        <v>0</v>
      </c>
      <c r="R82" t="n">
        <v>0</v>
      </c>
      <c r="S82" t="n">
        <v>0</v>
      </c>
      <c r="T82" t="n">
        <v>0</v>
      </c>
      <c r="U82" t="n">
        <v>0</v>
      </c>
      <c r="V82" s="2" t="inlineStr"/>
    </row>
    <row r="83" ht="15" customHeight="1">
      <c r="A83" t="inlineStr">
        <is>
          <t>A 29509-2025</t>
        </is>
      </c>
      <c r="B83" t="inlineStr">
        <is>
          <t>avverkningsanmälan</t>
        </is>
      </c>
      <c r="C83" t="inlineStr">
        <is>
          <t>Föryngringsavverkning</t>
        </is>
      </c>
      <c r="D83" s="1" t="n">
        <v>45825</v>
      </c>
      <c r="E83" s="1" t="n">
        <v>46313</v>
      </c>
      <c r="F83" t="inlineStr">
        <is>
          <t>VÄSTRA GÖTALANDS LÄN</t>
        </is>
      </c>
      <c r="G83" t="inlineStr">
        <is>
          <t>ÅMÅL</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40043-2025</t>
        </is>
      </c>
      <c r="B84" t="inlineStr">
        <is>
          <t>avverkningsanmälan</t>
        </is>
      </c>
      <c r="C84" t="inlineStr">
        <is>
          <t>Föryngringsavverkning</t>
        </is>
      </c>
      <c r="D84" s="1" t="n">
        <v>45893</v>
      </c>
      <c r="E84" s="1" t="n">
        <v>46313</v>
      </c>
      <c r="F84" t="inlineStr">
        <is>
          <t>VÄSTRA GÖTALANDS LÄN</t>
        </is>
      </c>
      <c r="G84" t="inlineStr">
        <is>
          <t>ÅMÅL</t>
        </is>
      </c>
      <c r="I84" t="n">
        <v>3.4</v>
      </c>
      <c r="J84" t="n">
        <v>0</v>
      </c>
      <c r="K84" t="n">
        <v>0</v>
      </c>
      <c r="L84" t="n">
        <v>0</v>
      </c>
      <c r="M84" t="n">
        <v>0</v>
      </c>
      <c r="N84" t="n">
        <v>0</v>
      </c>
      <c r="O84" t="n">
        <v>0</v>
      </c>
      <c r="P84" t="n">
        <v>0</v>
      </c>
      <c r="Q84" t="n">
        <v>0</v>
      </c>
      <c r="R84" t="n">
        <v>0</v>
      </c>
      <c r="S84" t="n">
        <v>0</v>
      </c>
      <c r="T84" t="n">
        <v>0</v>
      </c>
      <c r="U84" t="n">
        <v>0</v>
      </c>
      <c r="V84" s="2" t="inlineStr"/>
    </row>
    <row r="85" ht="15" customHeight="1">
      <c r="A85" t="inlineStr">
        <is>
          <t>A 25822-2025</t>
        </is>
      </c>
      <c r="B85" t="inlineStr">
        <is>
          <t>avverkningsanmälan</t>
        </is>
      </c>
      <c r="C85" t="inlineStr">
        <is>
          <t>Föryngringsavverkning</t>
        </is>
      </c>
      <c r="D85" s="1" t="n">
        <v>45804</v>
      </c>
      <c r="E85" s="1" t="n">
        <v>46313</v>
      </c>
      <c r="F85" t="inlineStr">
        <is>
          <t>VÄSTRA GÖTALANDS LÄN</t>
        </is>
      </c>
      <c r="G85" t="inlineStr">
        <is>
          <t>ÅMÅL</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335-2025</t>
        </is>
      </c>
      <c r="B86" t="inlineStr">
        <is>
          <t>avverkningsanmälan</t>
        </is>
      </c>
      <c r="C86" t="inlineStr">
        <is>
          <t>Föryngringsavverkning</t>
        </is>
      </c>
      <c r="D86" s="1" t="n">
        <v>45660</v>
      </c>
      <c r="E86" s="1" t="n">
        <v>46313</v>
      </c>
      <c r="F86" t="inlineStr">
        <is>
          <t>VÄSTRA GÖTALANDS LÄN</t>
        </is>
      </c>
      <c r="G86" t="inlineStr">
        <is>
          <t>ÅMÅL</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22168-2023</t>
        </is>
      </c>
      <c r="B87" t="inlineStr">
        <is>
          <t>avverkningsanmälan</t>
        </is>
      </c>
      <c r="C87" t="inlineStr">
        <is>
          <t>Föryngringsavverkning</t>
        </is>
      </c>
      <c r="D87" s="1" t="n">
        <v>45065</v>
      </c>
      <c r="E87" s="1" t="n">
        <v>46313</v>
      </c>
      <c r="F87" t="inlineStr">
        <is>
          <t>VÄSTRA GÖTALANDS LÄN</t>
        </is>
      </c>
      <c r="G87" t="inlineStr">
        <is>
          <t>ÅMÅL</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20141-2023</t>
        </is>
      </c>
      <c r="B88" t="inlineStr">
        <is>
          <t>avverkningsanmälan</t>
        </is>
      </c>
      <c r="C88" t="inlineStr">
        <is>
          <t>Föryngringsavverkning</t>
        </is>
      </c>
      <c r="D88" s="1" t="n">
        <v>45055</v>
      </c>
      <c r="E88" s="1" t="n">
        <v>46313</v>
      </c>
      <c r="F88" t="inlineStr">
        <is>
          <t>VÄSTRA GÖTALANDS LÄN</t>
        </is>
      </c>
      <c r="G88" t="inlineStr">
        <is>
          <t>ÅMÅL</t>
        </is>
      </c>
      <c r="I88" t="n">
        <v>4</v>
      </c>
      <c r="J88" t="n">
        <v>0</v>
      </c>
      <c r="K88" t="n">
        <v>0</v>
      </c>
      <c r="L88" t="n">
        <v>0</v>
      </c>
      <c r="M88" t="n">
        <v>0</v>
      </c>
      <c r="N88" t="n">
        <v>0</v>
      </c>
      <c r="O88" t="n">
        <v>0</v>
      </c>
      <c r="P88" t="n">
        <v>0</v>
      </c>
      <c r="Q88" t="n">
        <v>0</v>
      </c>
      <c r="R88" t="n">
        <v>0</v>
      </c>
      <c r="S88" t="n">
        <v>0</v>
      </c>
      <c r="T88" t="n">
        <v>0</v>
      </c>
      <c r="U88" t="n">
        <v>0</v>
      </c>
      <c r="V88" s="2" t="inlineStr"/>
    </row>
    <row r="89" ht="15" customHeight="1">
      <c r="A89" t="inlineStr">
        <is>
          <t>A 49373-2025</t>
        </is>
      </c>
      <c r="B89" t="inlineStr">
        <is>
          <t>avverkningsanmälan</t>
        </is>
      </c>
      <c r="C89" t="inlineStr">
        <is>
          <t>Föryngringsavverkning</t>
        </is>
      </c>
      <c r="D89" s="1" t="n">
        <v>45938</v>
      </c>
      <c r="E89" s="1" t="n">
        <v>46313</v>
      </c>
      <c r="F89" t="inlineStr">
        <is>
          <t>VÄSTRA GÖTALANDS LÄN</t>
        </is>
      </c>
      <c r="G89" t="inlineStr">
        <is>
          <t>ÅMÅL</t>
        </is>
      </c>
      <c r="I89" t="n">
        <v>8.199999999999999</v>
      </c>
      <c r="J89" t="n">
        <v>0</v>
      </c>
      <c r="K89" t="n">
        <v>0</v>
      </c>
      <c r="L89" t="n">
        <v>0</v>
      </c>
      <c r="M89" t="n">
        <v>0</v>
      </c>
      <c r="N89" t="n">
        <v>0</v>
      </c>
      <c r="O89" t="n">
        <v>0</v>
      </c>
      <c r="P89" t="n">
        <v>0</v>
      </c>
      <c r="Q89" t="n">
        <v>0</v>
      </c>
      <c r="R89" t="n">
        <v>0</v>
      </c>
      <c r="S89" t="n">
        <v>0</v>
      </c>
      <c r="T89" t="n">
        <v>0</v>
      </c>
      <c r="U89" t="n">
        <v>0</v>
      </c>
      <c r="V89" s="2" t="inlineStr"/>
    </row>
    <row r="90" ht="15" customHeight="1">
      <c r="A90" t="inlineStr">
        <is>
          <t>A 11963-2026</t>
        </is>
      </c>
      <c r="B90" t="inlineStr">
        <is>
          <t>avverkningsanmälan</t>
        </is>
      </c>
      <c r="C90" t="inlineStr">
        <is>
          <t>Föryngringsavverkning</t>
        </is>
      </c>
      <c r="D90" s="1" t="n">
        <v>46085</v>
      </c>
      <c r="E90" s="1" t="n">
        <v>46313</v>
      </c>
      <c r="F90" t="inlineStr">
        <is>
          <t>VÄSTRA GÖTALANDS LÄN</t>
        </is>
      </c>
      <c r="G90" t="inlineStr">
        <is>
          <t>ÅMÅL</t>
        </is>
      </c>
      <c r="I90" t="n">
        <v>7.5</v>
      </c>
      <c r="J90" t="n">
        <v>0</v>
      </c>
      <c r="K90" t="n">
        <v>0</v>
      </c>
      <c r="L90" t="n">
        <v>0</v>
      </c>
      <c r="M90" t="n">
        <v>0</v>
      </c>
      <c r="N90" t="n">
        <v>0</v>
      </c>
      <c r="O90" t="n">
        <v>0</v>
      </c>
      <c r="P90" t="n">
        <v>0</v>
      </c>
      <c r="Q90" t="n">
        <v>0</v>
      </c>
      <c r="R90" t="n">
        <v>0</v>
      </c>
      <c r="S90" t="n">
        <v>0</v>
      </c>
      <c r="T90" t="n">
        <v>0</v>
      </c>
      <c r="U90" t="n">
        <v>0</v>
      </c>
      <c r="V90" s="2" t="inlineStr"/>
    </row>
    <row r="91" ht="15" customHeight="1">
      <c r="A91" t="inlineStr">
        <is>
          <t>A 20630-2026</t>
        </is>
      </c>
      <c r="B91" t="inlineStr">
        <is>
          <t>avverkningsanmälan</t>
        </is>
      </c>
      <c r="C91" t="inlineStr">
        <is>
          <t>Föryngringsavverkning</t>
        </is>
      </c>
      <c r="D91" s="1" t="n">
        <v>46141</v>
      </c>
      <c r="E91" s="1" t="n">
        <v>46313</v>
      </c>
      <c r="F91" t="inlineStr">
        <is>
          <t>VÄSTRA GÖTALANDS LÄN</t>
        </is>
      </c>
      <c r="G91" t="inlineStr">
        <is>
          <t>ÅMÅL</t>
        </is>
      </c>
      <c r="H91" t="inlineStr">
        <is>
          <t>Kommuner</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42098-2025</t>
        </is>
      </c>
      <c r="B92" t="inlineStr">
        <is>
          <t>avverkningsanmälan</t>
        </is>
      </c>
      <c r="C92" t="inlineStr">
        <is>
          <t>Avverkning för annat ändamål</t>
        </is>
      </c>
      <c r="D92" s="1" t="n">
        <v>45903</v>
      </c>
      <c r="E92" s="1" t="n">
        <v>46313</v>
      </c>
      <c r="F92" t="inlineStr">
        <is>
          <t>VÄSTRA GÖTALANDS LÄN</t>
        </is>
      </c>
      <c r="G92" t="inlineStr">
        <is>
          <t>ÅMÅL</t>
        </is>
      </c>
      <c r="H92" t="inlineStr">
        <is>
          <t>Kommuner</t>
        </is>
      </c>
      <c r="I92" t="n">
        <v>0.3</v>
      </c>
      <c r="J92" t="n">
        <v>0</v>
      </c>
      <c r="K92" t="n">
        <v>0</v>
      </c>
      <c r="L92" t="n">
        <v>0</v>
      </c>
      <c r="M92" t="n">
        <v>0</v>
      </c>
      <c r="N92" t="n">
        <v>0</v>
      </c>
      <c r="O92" t="n">
        <v>0</v>
      </c>
      <c r="P92" t="n">
        <v>0</v>
      </c>
      <c r="Q92" t="n">
        <v>0</v>
      </c>
      <c r="R92" t="n">
        <v>0</v>
      </c>
      <c r="S92" t="n">
        <v>0</v>
      </c>
      <c r="T92" t="n">
        <v>0</v>
      </c>
      <c r="U92" t="n">
        <v>0</v>
      </c>
      <c r="V92" s="2" t="inlineStr"/>
    </row>
    <row r="93" ht="15" customHeight="1">
      <c r="A93" t="inlineStr">
        <is>
          <t>A 64859-2023</t>
        </is>
      </c>
      <c r="B93" t="inlineStr">
        <is>
          <t>avverkningsanmälan</t>
        </is>
      </c>
      <c r="C93" t="inlineStr">
        <is>
          <t>Föryngringsavverkning</t>
        </is>
      </c>
      <c r="D93" s="1" t="n">
        <v>45280</v>
      </c>
      <c r="E93" s="1" t="n">
        <v>46313</v>
      </c>
      <c r="F93" t="inlineStr">
        <is>
          <t>VÄSTRA GÖTALANDS LÄN</t>
        </is>
      </c>
      <c r="G93" t="inlineStr">
        <is>
          <t>ÅMÅL</t>
        </is>
      </c>
      <c r="H93" t="inlineStr">
        <is>
          <t>Bergvik skog väst AB</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57305-2024</t>
        </is>
      </c>
      <c r="B94" t="inlineStr">
        <is>
          <t>avverkningsanmälan</t>
        </is>
      </c>
      <c r="C94" t="inlineStr">
        <is>
          <t>Föryngringsavverkning</t>
        </is>
      </c>
      <c r="D94" s="1" t="n">
        <v>45629</v>
      </c>
      <c r="E94" s="1" t="n">
        <v>46313</v>
      </c>
      <c r="F94" t="inlineStr">
        <is>
          <t>VÄSTRA GÖTALANDS LÄN</t>
        </is>
      </c>
      <c r="G94" t="inlineStr">
        <is>
          <t>ÅMÅL</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43343-2025</t>
        </is>
      </c>
      <c r="B95" t="inlineStr">
        <is>
          <t>avverkningsanmälan</t>
        </is>
      </c>
      <c r="C95" t="inlineStr">
        <is>
          <t>Föryngringsavverkning</t>
        </is>
      </c>
      <c r="D95" s="1" t="n">
        <v>45910</v>
      </c>
      <c r="E95" s="1" t="n">
        <v>46313</v>
      </c>
      <c r="F95" t="inlineStr">
        <is>
          <t>VÄSTRA GÖTALANDS LÄN</t>
        </is>
      </c>
      <c r="G95" t="inlineStr">
        <is>
          <t>ÅMÅL</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44046-2025</t>
        </is>
      </c>
      <c r="B96" t="inlineStr">
        <is>
          <t>avverkningsanmälan</t>
        </is>
      </c>
      <c r="C96" t="inlineStr">
        <is>
          <t>Föryngringsavverkning</t>
        </is>
      </c>
      <c r="D96" s="1" t="n">
        <v>45915</v>
      </c>
      <c r="E96" s="1" t="n">
        <v>46313</v>
      </c>
      <c r="F96" t="inlineStr">
        <is>
          <t>VÄSTRA GÖTALANDS LÄN</t>
        </is>
      </c>
      <c r="G96" t="inlineStr">
        <is>
          <t>ÅMÅL</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42026-2025</t>
        </is>
      </c>
      <c r="B97" t="inlineStr">
        <is>
          <t>avverkningsanmälan</t>
        </is>
      </c>
      <c r="C97" t="inlineStr">
        <is>
          <t>Avverkning för annat ändamål</t>
        </is>
      </c>
      <c r="D97" s="1" t="n">
        <v>45903</v>
      </c>
      <c r="E97" s="1" t="n">
        <v>46313</v>
      </c>
      <c r="F97" t="inlineStr">
        <is>
          <t>VÄSTRA GÖTALANDS LÄN</t>
        </is>
      </c>
      <c r="G97" t="inlineStr">
        <is>
          <t>ÅMÅL</t>
        </is>
      </c>
      <c r="I97" t="n">
        <v>7.8</v>
      </c>
      <c r="J97" t="n">
        <v>0</v>
      </c>
      <c r="K97" t="n">
        <v>0</v>
      </c>
      <c r="L97" t="n">
        <v>0</v>
      </c>
      <c r="M97" t="n">
        <v>0</v>
      </c>
      <c r="N97" t="n">
        <v>0</v>
      </c>
      <c r="O97" t="n">
        <v>0</v>
      </c>
      <c r="P97" t="n">
        <v>0</v>
      </c>
      <c r="Q97" t="n">
        <v>0</v>
      </c>
      <c r="R97" t="n">
        <v>0</v>
      </c>
      <c r="S97" t="n">
        <v>0</v>
      </c>
      <c r="T97" t="n">
        <v>0</v>
      </c>
      <c r="U97" t="n">
        <v>0</v>
      </c>
      <c r="V97" s="2" t="inlineStr"/>
    </row>
    <row r="98" ht="15" customHeight="1">
      <c r="A98" t="inlineStr">
        <is>
          <t>A 50428-2022</t>
        </is>
      </c>
      <c r="B98" t="inlineStr">
        <is>
          <t>avverkningsanmälan</t>
        </is>
      </c>
      <c r="C98" t="inlineStr">
        <is>
          <t>Föryngringsavverkning</t>
        </is>
      </c>
      <c r="D98" s="1" t="n">
        <v>44866</v>
      </c>
      <c r="E98" s="1" t="n">
        <v>46313</v>
      </c>
      <c r="F98" t="inlineStr">
        <is>
          <t>VÄSTRA GÖTALANDS LÄN</t>
        </is>
      </c>
      <c r="G98" t="inlineStr">
        <is>
          <t>ÅMÅL</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28862-2022</t>
        </is>
      </c>
      <c r="B99" t="inlineStr">
        <is>
          <t>avverkningsanmälan</t>
        </is>
      </c>
      <c r="C99" t="inlineStr">
        <is>
          <t>Föryngringsavverkning</t>
        </is>
      </c>
      <c r="D99" s="1" t="n">
        <v>44749</v>
      </c>
      <c r="E99" s="1" t="n">
        <v>46313</v>
      </c>
      <c r="F99" t="inlineStr">
        <is>
          <t>VÄSTRA GÖTALANDS LÄN</t>
        </is>
      </c>
      <c r="G99" t="inlineStr">
        <is>
          <t>ÅMÅL</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32889-2023</t>
        </is>
      </c>
      <c r="B100" t="inlineStr">
        <is>
          <t>avverkningsanmälan</t>
        </is>
      </c>
      <c r="C100" t="inlineStr">
        <is>
          <t>Föryngringsavverkning</t>
        </is>
      </c>
      <c r="D100" s="1" t="n">
        <v>45112</v>
      </c>
      <c r="E100" s="1" t="n">
        <v>46313</v>
      </c>
      <c r="F100" t="inlineStr">
        <is>
          <t>VÄSTRA GÖTALANDS LÄN</t>
        </is>
      </c>
      <c r="G100" t="inlineStr">
        <is>
          <t>ÅMÅL</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46312-2025</t>
        </is>
      </c>
      <c r="B101" t="inlineStr">
        <is>
          <t>avverkningsanmälan</t>
        </is>
      </c>
      <c r="C101" t="inlineStr">
        <is>
          <t>Föryngringsavverkning</t>
        </is>
      </c>
      <c r="D101" s="1" t="n">
        <v>45925</v>
      </c>
      <c r="E101" s="1" t="n">
        <v>46313</v>
      </c>
      <c r="F101" t="inlineStr">
        <is>
          <t>VÄSTRA GÖTALANDS LÄN</t>
        </is>
      </c>
      <c r="G101" t="inlineStr">
        <is>
          <t>ÅMÅL</t>
        </is>
      </c>
      <c r="H101" t="inlineStr">
        <is>
          <t>Bergvik skog väst AB</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27853-2023</t>
        </is>
      </c>
      <c r="B102" t="inlineStr">
        <is>
          <t>avverkningsanmälan</t>
        </is>
      </c>
      <c r="C102" t="inlineStr">
        <is>
          <t>Föryngringsavverkning</t>
        </is>
      </c>
      <c r="D102" s="1" t="n">
        <v>45098</v>
      </c>
      <c r="E102" s="1" t="n">
        <v>46313</v>
      </c>
      <c r="F102" t="inlineStr">
        <is>
          <t>VÄSTRA GÖTALANDS LÄN</t>
        </is>
      </c>
      <c r="G102" t="inlineStr">
        <is>
          <t>ÅMÅL</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9259-2024</t>
        </is>
      </c>
      <c r="B103" t="inlineStr">
        <is>
          <t>avverkningsanmälan</t>
        </is>
      </c>
      <c r="C103" t="inlineStr">
        <is>
          <t>Föryngringsavverkning</t>
        </is>
      </c>
      <c r="D103" s="1" t="n">
        <v>45358</v>
      </c>
      <c r="E103" s="1" t="n">
        <v>46313</v>
      </c>
      <c r="F103" t="inlineStr">
        <is>
          <t>VÄSTRA GÖTALANDS LÄN</t>
        </is>
      </c>
      <c r="G103" t="inlineStr">
        <is>
          <t>ÅMÅL</t>
        </is>
      </c>
      <c r="I103" t="n">
        <v>6.1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48085-2025</t>
        </is>
      </c>
      <c r="B104" t="inlineStr">
        <is>
          <t>avverkningsanmälan</t>
        </is>
      </c>
      <c r="C104" t="inlineStr">
        <is>
          <t>Föryngringsavverkning</t>
        </is>
      </c>
      <c r="D104" s="1" t="n">
        <v>45932</v>
      </c>
      <c r="E104" s="1" t="n">
        <v>46313</v>
      </c>
      <c r="F104" t="inlineStr">
        <is>
          <t>VÄSTRA GÖTALANDS LÄN</t>
        </is>
      </c>
      <c r="G104" t="inlineStr">
        <is>
          <t>ÅMÅL</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22126-2026</t>
        </is>
      </c>
      <c r="B105" t="inlineStr">
        <is>
          <t>avverkningsanmälan</t>
        </is>
      </c>
      <c r="C105" t="inlineStr">
        <is>
          <t>Föryngringsavverkning</t>
        </is>
      </c>
      <c r="D105" s="1" t="n">
        <v>46153</v>
      </c>
      <c r="E105" s="1" t="n">
        <v>46313</v>
      </c>
      <c r="F105" t="inlineStr">
        <is>
          <t>VÄSTRA GÖTALANDS LÄN</t>
        </is>
      </c>
      <c r="G105" t="inlineStr">
        <is>
          <t>ÅMÅL</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1282-2024</t>
        </is>
      </c>
      <c r="B106" t="inlineStr">
        <is>
          <t>avverkningsanmälan</t>
        </is>
      </c>
      <c r="C106" t="inlineStr">
        <is>
          <t>Föryngringsavverkning</t>
        </is>
      </c>
      <c r="D106" s="1" t="n">
        <v>45303</v>
      </c>
      <c r="E106" s="1" t="n">
        <v>46313</v>
      </c>
      <c r="F106" t="inlineStr">
        <is>
          <t>VÄSTRA GÖTALANDS LÄN</t>
        </is>
      </c>
      <c r="G106" t="inlineStr">
        <is>
          <t>ÅMÅL</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15463-2023</t>
        </is>
      </c>
      <c r="B107" t="inlineStr">
        <is>
          <t>avverkningsanmälan</t>
        </is>
      </c>
      <c r="C107" t="inlineStr">
        <is>
          <t>Föryngringsavverkning</t>
        </is>
      </c>
      <c r="D107" s="1" t="n">
        <v>45019</v>
      </c>
      <c r="E107" s="1" t="n">
        <v>46313</v>
      </c>
      <c r="F107" t="inlineStr">
        <is>
          <t>VÄSTRA GÖTALANDS LÄN</t>
        </is>
      </c>
      <c r="G107" t="inlineStr">
        <is>
          <t>ÅMÅL</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11916-2024</t>
        </is>
      </c>
      <c r="B108" t="inlineStr">
        <is>
          <t>avverkningsanmälan</t>
        </is>
      </c>
      <c r="C108" t="inlineStr">
        <is>
          <t>Föryngringsavverkning</t>
        </is>
      </c>
      <c r="D108" s="1" t="n">
        <v>45376</v>
      </c>
      <c r="E108" s="1" t="n">
        <v>46313</v>
      </c>
      <c r="F108" t="inlineStr">
        <is>
          <t>VÄSTRA GÖTALANDS LÄN</t>
        </is>
      </c>
      <c r="G108" t="inlineStr">
        <is>
          <t>ÅMÅL</t>
        </is>
      </c>
      <c r="H108" t="inlineStr">
        <is>
          <t>Bergvik skog väst AB</t>
        </is>
      </c>
      <c r="I108" t="n">
        <v>5.3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49500-2025</t>
        </is>
      </c>
      <c r="B109" t="inlineStr">
        <is>
          <t>avverkningsanmälan</t>
        </is>
      </c>
      <c r="C109" t="inlineStr">
        <is>
          <t>Föryngringsavverkning</t>
        </is>
      </c>
      <c r="D109" s="1" t="n">
        <v>45939</v>
      </c>
      <c r="E109" s="1" t="n">
        <v>46313</v>
      </c>
      <c r="F109" t="inlineStr">
        <is>
          <t>VÄSTRA GÖTALANDS LÄN</t>
        </is>
      </c>
      <c r="G109" t="inlineStr">
        <is>
          <t>ÅMÅL</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40251-2024</t>
        </is>
      </c>
      <c r="B110" t="inlineStr">
        <is>
          <t>avverkningsanmälan</t>
        </is>
      </c>
      <c r="C110" t="inlineStr">
        <is>
          <t>Föryngringsavverkning</t>
        </is>
      </c>
      <c r="D110" s="1" t="n">
        <v>45554</v>
      </c>
      <c r="E110" s="1" t="n">
        <v>46313</v>
      </c>
      <c r="F110" t="inlineStr">
        <is>
          <t>VÄSTRA GÖTALANDS LÄN</t>
        </is>
      </c>
      <c r="G110" t="inlineStr">
        <is>
          <t>ÅMÅL</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52216-2025</t>
        </is>
      </c>
      <c r="B111" t="inlineStr">
        <is>
          <t>avverkningsanmälan</t>
        </is>
      </c>
      <c r="C111" t="inlineStr">
        <is>
          <t>Föryngringsavverkning</t>
        </is>
      </c>
      <c r="D111" s="1" t="n">
        <v>45953</v>
      </c>
      <c r="E111" s="1" t="n">
        <v>46313</v>
      </c>
      <c r="F111" t="inlineStr">
        <is>
          <t>VÄSTRA GÖTALANDS LÄN</t>
        </is>
      </c>
      <c r="G111" t="inlineStr">
        <is>
          <t>ÅMÅL</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34525-2023</t>
        </is>
      </c>
      <c r="B112" t="inlineStr">
        <is>
          <t>avverkningsanmälan</t>
        </is>
      </c>
      <c r="C112" t="inlineStr">
        <is>
          <t>Föryngringsavverkning</t>
        </is>
      </c>
      <c r="D112" s="1" t="n">
        <v>45140</v>
      </c>
      <c r="E112" s="1" t="n">
        <v>46313</v>
      </c>
      <c r="F112" t="inlineStr">
        <is>
          <t>VÄSTRA GÖTALANDS LÄN</t>
        </is>
      </c>
      <c r="G112" t="inlineStr">
        <is>
          <t>ÅMÅL</t>
        </is>
      </c>
      <c r="I112" t="n">
        <v>8.1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28866-2022</t>
        </is>
      </c>
      <c r="B113" t="inlineStr">
        <is>
          <t>avverkningsanmälan</t>
        </is>
      </c>
      <c r="C113" t="inlineStr">
        <is>
          <t>Föryngringsavverkning</t>
        </is>
      </c>
      <c r="D113" s="1" t="n">
        <v>44749</v>
      </c>
      <c r="E113" s="1" t="n">
        <v>46313</v>
      </c>
      <c r="F113" t="inlineStr">
        <is>
          <t>VÄSTRA GÖTALANDS LÄN</t>
        </is>
      </c>
      <c r="G113" t="inlineStr">
        <is>
          <t>ÅMÅL</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11402-2023</t>
        </is>
      </c>
      <c r="B114" t="inlineStr">
        <is>
          <t>avverkningsanmälan</t>
        </is>
      </c>
      <c r="C114" t="inlineStr">
        <is>
          <t>Föryngringsavverkning</t>
        </is>
      </c>
      <c r="D114" s="1" t="n">
        <v>44993</v>
      </c>
      <c r="E114" s="1" t="n">
        <v>46313</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49146-2024</t>
        </is>
      </c>
      <c r="B115" t="inlineStr">
        <is>
          <t>avverkningsanmälan</t>
        </is>
      </c>
      <c r="C115" t="inlineStr">
        <is>
          <t>Föryngringsavverkning</t>
        </is>
      </c>
      <c r="D115" s="1" t="n">
        <v>45594</v>
      </c>
      <c r="E115" s="1" t="n">
        <v>46313</v>
      </c>
      <c r="F115" t="inlineStr">
        <is>
          <t>VÄSTRA GÖTALANDS LÄN</t>
        </is>
      </c>
      <c r="G115" t="inlineStr">
        <is>
          <t>ÅMÅL</t>
        </is>
      </c>
      <c r="I115" t="n">
        <v>8.1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53536-2025</t>
        </is>
      </c>
      <c r="B116" t="inlineStr">
        <is>
          <t>avverkningsanmälan</t>
        </is>
      </c>
      <c r="C116" t="inlineStr">
        <is>
          <t>Föryngringsavverkning</t>
        </is>
      </c>
      <c r="D116" s="1" t="n">
        <v>45960</v>
      </c>
      <c r="E116" s="1" t="n">
        <v>46313</v>
      </c>
      <c r="F116" t="inlineStr">
        <is>
          <t>VÄSTRA GÖTALANDS LÄN</t>
        </is>
      </c>
      <c r="G116" t="inlineStr">
        <is>
          <t>ÅMÅL</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23133-2025</t>
        </is>
      </c>
      <c r="B117" t="inlineStr">
        <is>
          <t>avverkningsanmälan</t>
        </is>
      </c>
      <c r="C117" t="inlineStr">
        <is>
          <t>Föryngringsavverkning</t>
        </is>
      </c>
      <c r="D117" s="1" t="n">
        <v>45791</v>
      </c>
      <c r="E117" s="1" t="n">
        <v>46313</v>
      </c>
      <c r="F117" t="inlineStr">
        <is>
          <t>VÄSTRA GÖTALANDS LÄN</t>
        </is>
      </c>
      <c r="G117" t="inlineStr">
        <is>
          <t>ÅMÅL</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47699-2024</t>
        </is>
      </c>
      <c r="B118" t="inlineStr">
        <is>
          <t>avverkningsanmälan</t>
        </is>
      </c>
      <c r="C118" t="inlineStr">
        <is>
          <t>Föryngringsavverkning</t>
        </is>
      </c>
      <c r="D118" s="1" t="n">
        <v>45588</v>
      </c>
      <c r="E118" s="1" t="n">
        <v>46313</v>
      </c>
      <c r="F118" t="inlineStr">
        <is>
          <t>VÄSTRA GÖTALANDS LÄN</t>
        </is>
      </c>
      <c r="G118" t="inlineStr">
        <is>
          <t>ÅMÅL</t>
        </is>
      </c>
      <c r="I118" t="n">
        <v>2.9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55119-2025</t>
        </is>
      </c>
      <c r="B119" t="inlineStr">
        <is>
          <t>avverkningsanmälan</t>
        </is>
      </c>
      <c r="C119" t="inlineStr">
        <is>
          <t>Föryngringsavverkning</t>
        </is>
      </c>
      <c r="D119" s="1" t="n">
        <v>45967</v>
      </c>
      <c r="E119" s="1" t="n">
        <v>46313</v>
      </c>
      <c r="F119" t="inlineStr">
        <is>
          <t>VÄSTRA GÖTALANDS LÄN</t>
        </is>
      </c>
      <c r="G119" t="inlineStr">
        <is>
          <t>ÅMÅL</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40189-2024</t>
        </is>
      </c>
      <c r="B120" t="inlineStr">
        <is>
          <t>avverkningsanmälan</t>
        </is>
      </c>
      <c r="C120" t="inlineStr">
        <is>
          <t>Föryngringsavverkning</t>
        </is>
      </c>
      <c r="D120" s="1" t="n">
        <v>45554</v>
      </c>
      <c r="E120" s="1" t="n">
        <v>46313</v>
      </c>
      <c r="F120" t="inlineStr">
        <is>
          <t>VÄSTRA GÖTALANDS LÄN</t>
        </is>
      </c>
      <c r="G120" t="inlineStr">
        <is>
          <t>ÅMÅL</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41013-2023</t>
        </is>
      </c>
      <c r="B121" t="inlineStr">
        <is>
          <t>avverkningsanmälan</t>
        </is>
      </c>
      <c r="C121" t="inlineStr">
        <is>
          <t>Föryngringsavverkning</t>
        </is>
      </c>
      <c r="D121" s="1" t="n">
        <v>45169</v>
      </c>
      <c r="E121" s="1" t="n">
        <v>46313</v>
      </c>
      <c r="F121" t="inlineStr">
        <is>
          <t>VÄSTRA GÖTALANDS LÄN</t>
        </is>
      </c>
      <c r="G121" t="inlineStr">
        <is>
          <t>ÅMÅL</t>
        </is>
      </c>
      <c r="I121" t="n">
        <v>7.5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33221-2024</t>
        </is>
      </c>
      <c r="B122" t="inlineStr">
        <is>
          <t>avverkningsanmälan</t>
        </is>
      </c>
      <c r="C122" t="inlineStr">
        <is>
          <t>Föryngringsavverkning</t>
        </is>
      </c>
      <c r="D122" s="1" t="n">
        <v>45518</v>
      </c>
      <c r="E122" s="1" t="n">
        <v>46313</v>
      </c>
      <c r="F122" t="inlineStr">
        <is>
          <t>VÄSTRA GÖTALANDS LÄN</t>
        </is>
      </c>
      <c r="G122" t="inlineStr">
        <is>
          <t>ÅMÅL</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57088-2025</t>
        </is>
      </c>
      <c r="B123" t="inlineStr">
        <is>
          <t>avverkningsanmälan</t>
        </is>
      </c>
      <c r="C123" t="inlineStr">
        <is>
          <t>Föryngringsavverkning</t>
        </is>
      </c>
      <c r="D123" s="1" t="n">
        <v>45979</v>
      </c>
      <c r="E123" s="1" t="n">
        <v>46313</v>
      </c>
      <c r="F123" t="inlineStr">
        <is>
          <t>VÄSTRA GÖTALANDS LÄN</t>
        </is>
      </c>
      <c r="G123" t="inlineStr">
        <is>
          <t>ÅMÅL</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54870-2023</t>
        </is>
      </c>
      <c r="B124" t="inlineStr">
        <is>
          <t>avverkningsanmälan</t>
        </is>
      </c>
      <c r="C124" t="inlineStr">
        <is>
          <t>Föryngringsavverkning</t>
        </is>
      </c>
      <c r="D124" s="1" t="n">
        <v>45229</v>
      </c>
      <c r="E124" s="1" t="n">
        <v>46313</v>
      </c>
      <c r="F124" t="inlineStr">
        <is>
          <t>VÄSTRA GÖTALANDS LÄN</t>
        </is>
      </c>
      <c r="G124" t="inlineStr">
        <is>
          <t>ÅMÅL</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70345-2021</t>
        </is>
      </c>
      <c r="B125" t="inlineStr">
        <is>
          <t>avverkningsanmälan</t>
        </is>
      </c>
      <c r="C125" t="inlineStr">
        <is>
          <t>Föryngringsavverkning</t>
        </is>
      </c>
      <c r="D125" s="1" t="n">
        <v>44536</v>
      </c>
      <c r="E125" s="1" t="n">
        <v>46313</v>
      </c>
      <c r="F125" t="inlineStr">
        <is>
          <t>VÄSTRA GÖTALANDS LÄN</t>
        </is>
      </c>
      <c r="G125" t="inlineStr">
        <is>
          <t>ÅMÅL</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17391-2024</t>
        </is>
      </c>
      <c r="B126" t="inlineStr">
        <is>
          <t>avverkningsanmälan</t>
        </is>
      </c>
      <c r="C126" t="inlineStr">
        <is>
          <t>Föryngringsavverkning</t>
        </is>
      </c>
      <c r="D126" s="1" t="n">
        <v>45414</v>
      </c>
      <c r="E126" s="1" t="n">
        <v>46313</v>
      </c>
      <c r="F126" t="inlineStr">
        <is>
          <t>VÄSTRA GÖTALANDS LÄN</t>
        </is>
      </c>
      <c r="G126" t="inlineStr">
        <is>
          <t>ÅMÅL</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58707-2025</t>
        </is>
      </c>
      <c r="B127" t="inlineStr">
        <is>
          <t>avverkningsanmälan</t>
        </is>
      </c>
      <c r="C127" t="inlineStr">
        <is>
          <t>Föryngringsavverkning</t>
        </is>
      </c>
      <c r="D127" s="1" t="n">
        <v>45986</v>
      </c>
      <c r="E127" s="1" t="n">
        <v>46313</v>
      </c>
      <c r="F127" t="inlineStr">
        <is>
          <t>VÄSTRA GÖTALANDS LÄN</t>
        </is>
      </c>
      <c r="G127" t="inlineStr">
        <is>
          <t>ÅMÅL</t>
        </is>
      </c>
      <c r="H127" t="inlineStr">
        <is>
          <t>Kyrkan</t>
        </is>
      </c>
      <c r="I127" t="n">
        <v>11.2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58628-2025</t>
        </is>
      </c>
      <c r="B128" t="inlineStr">
        <is>
          <t>avverkningsanmälan</t>
        </is>
      </c>
      <c r="C128" t="inlineStr">
        <is>
          <t>Föryngringsavverkning</t>
        </is>
      </c>
      <c r="D128" s="1" t="n">
        <v>45986</v>
      </c>
      <c r="E128" s="1" t="n">
        <v>46313</v>
      </c>
      <c r="F128" t="inlineStr">
        <is>
          <t>VÄSTRA GÖTALANDS LÄN</t>
        </is>
      </c>
      <c r="G128" t="inlineStr">
        <is>
          <t>ÅMÅL</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58097-2023</t>
        </is>
      </c>
      <c r="B129" t="inlineStr">
        <is>
          <t>avverkningsanmälan</t>
        </is>
      </c>
      <c r="C129" t="inlineStr">
        <is>
          <t>Föryngringsavverkning</t>
        </is>
      </c>
      <c r="D129" s="1" t="n">
        <v>45248</v>
      </c>
      <c r="E129" s="1" t="n">
        <v>46313</v>
      </c>
      <c r="F129" t="inlineStr">
        <is>
          <t>VÄSTRA GÖTALANDS LÄN</t>
        </is>
      </c>
      <c r="G129" t="inlineStr">
        <is>
          <t>ÅMÅL</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73273-2021</t>
        </is>
      </c>
      <c r="B130" t="inlineStr">
        <is>
          <t>avverkningsanmälan</t>
        </is>
      </c>
      <c r="C130" t="inlineStr">
        <is>
          <t>Föryngringsavverkning</t>
        </is>
      </c>
      <c r="D130" s="1" t="n">
        <v>44550</v>
      </c>
      <c r="E130" s="1" t="n">
        <v>46313</v>
      </c>
      <c r="F130" t="inlineStr">
        <is>
          <t>VÄSTRA GÖTALANDS LÄN</t>
        </is>
      </c>
      <c r="G130" t="inlineStr">
        <is>
          <t>ÅMÅL</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35154-2022</t>
        </is>
      </c>
      <c r="B131" t="inlineStr">
        <is>
          <t>avverkningsanmälan</t>
        </is>
      </c>
      <c r="C131" t="inlineStr">
        <is>
          <t>Föryngringsavverkning</t>
        </is>
      </c>
      <c r="D131" s="1" t="n">
        <v>44797</v>
      </c>
      <c r="E131" s="1" t="n">
        <v>46313</v>
      </c>
      <c r="F131" t="inlineStr">
        <is>
          <t>VÄSTRA GÖTALANDS LÄN</t>
        </is>
      </c>
      <c r="G131" t="inlineStr">
        <is>
          <t>ÅMÅL</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48447-2022</t>
        </is>
      </c>
      <c r="B132" t="inlineStr">
        <is>
          <t>avverkningsanmälan</t>
        </is>
      </c>
      <c r="C132" t="inlineStr">
        <is>
          <t>Föryngringsavverkning</t>
        </is>
      </c>
      <c r="D132" s="1" t="n">
        <v>44858</v>
      </c>
      <c r="E132" s="1" t="n">
        <v>46313</v>
      </c>
      <c r="F132" t="inlineStr">
        <is>
          <t>VÄSTRA GÖTALANDS LÄN</t>
        </is>
      </c>
      <c r="G132" t="inlineStr">
        <is>
          <t>ÅMÅL</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61122-2025</t>
        </is>
      </c>
      <c r="B133" t="inlineStr">
        <is>
          <t>avverkningsanmälan</t>
        </is>
      </c>
      <c r="C133" t="inlineStr">
        <is>
          <t>Föryngringsavverkning</t>
        </is>
      </c>
      <c r="D133" s="1" t="n">
        <v>46000</v>
      </c>
      <c r="E133" s="1" t="n">
        <v>46313</v>
      </c>
      <c r="F133" t="inlineStr">
        <is>
          <t>VÄSTRA GÖTALANDS LÄN</t>
        </is>
      </c>
      <c r="G133" t="inlineStr">
        <is>
          <t>ÅMÅL</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60382-2021</t>
        </is>
      </c>
      <c r="B134" t="inlineStr">
        <is>
          <t>avverkningsanmälan</t>
        </is>
      </c>
      <c r="C134" t="inlineStr">
        <is>
          <t>Föryngringsavverkning</t>
        </is>
      </c>
      <c r="D134" s="1" t="n">
        <v>44496</v>
      </c>
      <c r="E134" s="1" t="n">
        <v>46313</v>
      </c>
      <c r="F134" t="inlineStr">
        <is>
          <t>VÄSTRA GÖTALANDS LÄN</t>
        </is>
      </c>
      <c r="G134" t="inlineStr">
        <is>
          <t>ÅMÅL</t>
        </is>
      </c>
      <c r="I134" t="n">
        <v>6.5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57298-2024</t>
        </is>
      </c>
      <c r="B135" t="inlineStr">
        <is>
          <t>avverkningsanmälan</t>
        </is>
      </c>
      <c r="C135" t="inlineStr">
        <is>
          <t>Föryngringsavverkning</t>
        </is>
      </c>
      <c r="D135" s="1" t="n">
        <v>45629</v>
      </c>
      <c r="E135" s="1" t="n">
        <v>46313</v>
      </c>
      <c r="F135" t="inlineStr">
        <is>
          <t>VÄSTRA GÖTALANDS LÄN</t>
        </is>
      </c>
      <c r="G135" t="inlineStr">
        <is>
          <t>ÅMÅL</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30981-2023</t>
        </is>
      </c>
      <c r="B136" t="inlineStr">
        <is>
          <t>avverkningsanmälan</t>
        </is>
      </c>
      <c r="C136" t="inlineStr">
        <is>
          <t>Föryngringsavverkning</t>
        </is>
      </c>
      <c r="D136" s="1" t="n">
        <v>45113</v>
      </c>
      <c r="E136" s="1" t="n">
        <v>46313</v>
      </c>
      <c r="F136" t="inlineStr">
        <is>
          <t>VÄSTRA GÖTALANDS LÄN</t>
        </is>
      </c>
      <c r="G136" t="inlineStr">
        <is>
          <t>ÅMÅL</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62440-2025</t>
        </is>
      </c>
      <c r="B137" t="inlineStr">
        <is>
          <t>avverkningsanmälan</t>
        </is>
      </c>
      <c r="C137" t="inlineStr">
        <is>
          <t>Föryngringsavverkning</t>
        </is>
      </c>
      <c r="D137" s="1" t="n">
        <v>46007</v>
      </c>
      <c r="E137" s="1" t="n">
        <v>46313</v>
      </c>
      <c r="F137" t="inlineStr">
        <is>
          <t>VÄSTRA GÖTALANDS LÄN</t>
        </is>
      </c>
      <c r="G137" t="inlineStr">
        <is>
          <t>ÅMÅL</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62844-2025</t>
        </is>
      </c>
      <c r="B138" t="inlineStr">
        <is>
          <t>avverkningsanmälan</t>
        </is>
      </c>
      <c r="C138" t="inlineStr">
        <is>
          <t>Föryngringsavverkning</t>
        </is>
      </c>
      <c r="D138" s="1" t="n">
        <v>46008</v>
      </c>
      <c r="E138" s="1" t="n">
        <v>46313</v>
      </c>
      <c r="F138" t="inlineStr">
        <is>
          <t>VÄSTRA GÖTALANDS LÄN</t>
        </is>
      </c>
      <c r="G138" t="inlineStr">
        <is>
          <t>ÅMÅL</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14470-2023</t>
        </is>
      </c>
      <c r="B139" t="inlineStr">
        <is>
          <t>avverkningsanmälan</t>
        </is>
      </c>
      <c r="C139" t="inlineStr">
        <is>
          <t>Föryngringsavverkning</t>
        </is>
      </c>
      <c r="D139" s="1" t="n">
        <v>45012</v>
      </c>
      <c r="E139" s="1" t="n">
        <v>46313</v>
      </c>
      <c r="F139" t="inlineStr">
        <is>
          <t>VÄSTRA GÖTALANDS LÄN</t>
        </is>
      </c>
      <c r="G139" t="inlineStr">
        <is>
          <t>ÅMÅL</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38526-2022</t>
        </is>
      </c>
      <c r="B140" t="inlineStr">
        <is>
          <t>avverkningsanmälan</t>
        </is>
      </c>
      <c r="C140" t="inlineStr">
        <is>
          <t>Föryngringsavverkning</t>
        </is>
      </c>
      <c r="D140" s="1" t="n">
        <v>44813</v>
      </c>
      <c r="E140" s="1" t="n">
        <v>46313</v>
      </c>
      <c r="F140" t="inlineStr">
        <is>
          <t>VÄSTRA GÖTALANDS LÄN</t>
        </is>
      </c>
      <c r="G140" t="inlineStr">
        <is>
          <t>ÅMÅL</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18529-2023</t>
        </is>
      </c>
      <c r="B141" t="inlineStr">
        <is>
          <t>avverkningsanmälan</t>
        </is>
      </c>
      <c r="C141" t="inlineStr">
        <is>
          <t>Föryngringsavverkning</t>
        </is>
      </c>
      <c r="D141" s="1" t="n">
        <v>45042</v>
      </c>
      <c r="E141" s="1" t="n">
        <v>46313</v>
      </c>
      <c r="F141" t="inlineStr">
        <is>
          <t>VÄSTRA GÖTALANDS LÄN</t>
        </is>
      </c>
      <c r="G141" t="inlineStr">
        <is>
          <t>ÅMÅL</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54181-2024</t>
        </is>
      </c>
      <c r="B142" t="inlineStr">
        <is>
          <t>avverkningsanmälan</t>
        </is>
      </c>
      <c r="C142" t="inlineStr">
        <is>
          <t>Föryngringsavverkning</t>
        </is>
      </c>
      <c r="D142" s="1" t="n">
        <v>45616</v>
      </c>
      <c r="E142" s="1" t="n">
        <v>46313</v>
      </c>
      <c r="F142" t="inlineStr">
        <is>
          <t>VÄSTRA GÖTALANDS LÄN</t>
        </is>
      </c>
      <c r="G142" t="inlineStr">
        <is>
          <t>ÅMÅL</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47690-2024</t>
        </is>
      </c>
      <c r="B143" t="inlineStr">
        <is>
          <t>avverkningsanmälan</t>
        </is>
      </c>
      <c r="C143" t="inlineStr">
        <is>
          <t>Föryngringsavverkning</t>
        </is>
      </c>
      <c r="D143" s="1" t="n">
        <v>45588</v>
      </c>
      <c r="E143" s="1" t="n">
        <v>46313</v>
      </c>
      <c r="F143" t="inlineStr">
        <is>
          <t>VÄSTRA GÖTALANDS LÄN</t>
        </is>
      </c>
      <c r="G143" t="inlineStr">
        <is>
          <t>ÅMÅL</t>
        </is>
      </c>
      <c r="I143" t="n">
        <v>5.6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47697-2024</t>
        </is>
      </c>
      <c r="B144" t="inlineStr">
        <is>
          <t>avverkningsanmälan</t>
        </is>
      </c>
      <c r="C144" t="inlineStr">
        <is>
          <t>Föryngringsavverkning</t>
        </is>
      </c>
      <c r="D144" s="1" t="n">
        <v>45588</v>
      </c>
      <c r="E144" s="1" t="n">
        <v>46313</v>
      </c>
      <c r="F144" t="inlineStr">
        <is>
          <t>VÄSTRA GÖTALANDS LÄN</t>
        </is>
      </c>
      <c r="G144" t="inlineStr">
        <is>
          <t>ÅMÅL</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3141-2022</t>
        </is>
      </c>
      <c r="B145" t="inlineStr">
        <is>
          <t>avverkningsanmälan</t>
        </is>
      </c>
      <c r="C145" t="inlineStr">
        <is>
          <t>Föryngringsavverkning</t>
        </is>
      </c>
      <c r="D145" s="1" t="n">
        <v>44582</v>
      </c>
      <c r="E145" s="1" t="n">
        <v>46313</v>
      </c>
      <c r="F145" t="inlineStr">
        <is>
          <t>VÄSTRA GÖTALANDS LÄN</t>
        </is>
      </c>
      <c r="G145" t="inlineStr">
        <is>
          <t>ÅMÅL</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1689-2026</t>
        </is>
      </c>
      <c r="B146" t="inlineStr">
        <is>
          <t>avverkningsanmälan</t>
        </is>
      </c>
      <c r="C146" t="inlineStr">
        <is>
          <t>Föryngringsavverkning</t>
        </is>
      </c>
      <c r="D146" s="1" t="n">
        <v>46034</v>
      </c>
      <c r="E146" s="1" t="n">
        <v>46313</v>
      </c>
      <c r="F146" t="inlineStr">
        <is>
          <t>VÄSTRA GÖTALANDS LÄN</t>
        </is>
      </c>
      <c r="G146" t="inlineStr">
        <is>
          <t>ÅMÅL</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1695-2026</t>
        </is>
      </c>
      <c r="B147" t="inlineStr">
        <is>
          <t>avverkningsanmälan</t>
        </is>
      </c>
      <c r="C147" t="inlineStr">
        <is>
          <t>Föryngringsavverkning</t>
        </is>
      </c>
      <c r="D147" s="1" t="n">
        <v>46034</v>
      </c>
      <c r="E147" s="1" t="n">
        <v>46313</v>
      </c>
      <c r="F147" t="inlineStr">
        <is>
          <t>VÄSTRA GÖTALANDS LÄN</t>
        </is>
      </c>
      <c r="G147" t="inlineStr">
        <is>
          <t>ÅMÅL</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25304-2026</t>
        </is>
      </c>
      <c r="B148" t="inlineStr">
        <is>
          <t>avverkningsanmälan</t>
        </is>
      </c>
      <c r="C148" t="inlineStr">
        <is>
          <t>Föryngringsavverkning</t>
        </is>
      </c>
      <c r="D148" s="1" t="n">
        <v>46176</v>
      </c>
      <c r="E148" s="1" t="n">
        <v>46313</v>
      </c>
      <c r="F148" t="inlineStr">
        <is>
          <t>VÄSTRA GÖTALANDS LÄN</t>
        </is>
      </c>
      <c r="G148" t="inlineStr">
        <is>
          <t>ÅMÅL</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2981-2026</t>
        </is>
      </c>
      <c r="B149" t="inlineStr">
        <is>
          <t>avverkningsanmälan</t>
        </is>
      </c>
      <c r="C149" t="inlineStr">
        <is>
          <t>Föryngringsavverkning</t>
        </is>
      </c>
      <c r="D149" s="1" t="n">
        <v>46038</v>
      </c>
      <c r="E149" s="1" t="n">
        <v>46313</v>
      </c>
      <c r="F149" t="inlineStr">
        <is>
          <t>VÄSTRA GÖTALANDS LÄN</t>
        </is>
      </c>
      <c r="G149" t="inlineStr">
        <is>
          <t>ÅMÅL</t>
        </is>
      </c>
      <c r="H149" t="inlineStr">
        <is>
          <t>Bergvik skog väst AB</t>
        </is>
      </c>
      <c r="I149" t="n">
        <v>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58225-2021</t>
        </is>
      </c>
      <c r="B150" t="inlineStr">
        <is>
          <t>avverkningsanmälan</t>
        </is>
      </c>
      <c r="C150" t="inlineStr">
        <is>
          <t>Föryngringsavverkning</t>
        </is>
      </c>
      <c r="D150" s="1" t="n">
        <v>44487</v>
      </c>
      <c r="E150" s="1" t="n">
        <v>46313</v>
      </c>
      <c r="F150" t="inlineStr">
        <is>
          <t>VÄSTRA GÖTALANDS LÄN</t>
        </is>
      </c>
      <c r="G150" t="inlineStr">
        <is>
          <t>ÅMÅL</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24527-2026</t>
        </is>
      </c>
      <c r="B151" t="inlineStr">
        <is>
          <t>avverkningsanmälan</t>
        </is>
      </c>
      <c r="C151" t="inlineStr">
        <is>
          <t>Föryngringsavverkning</t>
        </is>
      </c>
      <c r="D151" s="1" t="n">
        <v>46170</v>
      </c>
      <c r="E151" s="1" t="n">
        <v>46313</v>
      </c>
      <c r="F151" t="inlineStr">
        <is>
          <t>VÄSTRA GÖTALANDS LÄN</t>
        </is>
      </c>
      <c r="G151" t="inlineStr">
        <is>
          <t>ÅMÅL</t>
        </is>
      </c>
      <c r="I151" t="n">
        <v>6.8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19471-2023</t>
        </is>
      </c>
      <c r="B152" t="inlineStr">
        <is>
          <t>avverkningsanmälan</t>
        </is>
      </c>
      <c r="C152" t="inlineStr">
        <is>
          <t>Föryngringsavverkning</t>
        </is>
      </c>
      <c r="D152" s="1" t="n">
        <v>45050</v>
      </c>
      <c r="E152" s="1" t="n">
        <v>46313</v>
      </c>
      <c r="F152" t="inlineStr">
        <is>
          <t>VÄSTRA GÖTALANDS LÄN</t>
        </is>
      </c>
      <c r="G152" t="inlineStr">
        <is>
          <t>ÅMÅL</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54867-2023</t>
        </is>
      </c>
      <c r="B153" t="inlineStr">
        <is>
          <t>avverkningsanmälan</t>
        </is>
      </c>
      <c r="C153" t="inlineStr">
        <is>
          <t>Föryngringsavverkning</t>
        </is>
      </c>
      <c r="D153" s="1" t="n">
        <v>45229</v>
      </c>
      <c r="E153" s="1" t="n">
        <v>46313</v>
      </c>
      <c r="F153" t="inlineStr">
        <is>
          <t>VÄSTRA GÖTALANDS LÄN</t>
        </is>
      </c>
      <c r="G153" t="inlineStr">
        <is>
          <t>ÅMÅL</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30980-2023</t>
        </is>
      </c>
      <c r="B154" t="inlineStr">
        <is>
          <t>avverkningsanmälan</t>
        </is>
      </c>
      <c r="C154" t="inlineStr">
        <is>
          <t>Föryngringsavverkning</t>
        </is>
      </c>
      <c r="D154" s="1" t="n">
        <v>45113</v>
      </c>
      <c r="E154" s="1" t="n">
        <v>46313</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9811-2026</t>
        </is>
      </c>
      <c r="B155" t="inlineStr">
        <is>
          <t>avverkningsanmälan</t>
        </is>
      </c>
      <c r="C155" t="inlineStr">
        <is>
          <t>Föryngringsavverkning</t>
        </is>
      </c>
      <c r="D155" s="1" t="n">
        <v>46072</v>
      </c>
      <c r="E155" s="1" t="n">
        <v>46313</v>
      </c>
      <c r="F155" t="inlineStr">
        <is>
          <t>VÄSTRA GÖTALANDS LÄN</t>
        </is>
      </c>
      <c r="G155" t="inlineStr">
        <is>
          <t>ÅMÅL</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9810-2026</t>
        </is>
      </c>
      <c r="B156" t="inlineStr">
        <is>
          <t>avverkningsanmälan</t>
        </is>
      </c>
      <c r="C156" t="inlineStr">
        <is>
          <t>Föryngringsavverkning</t>
        </is>
      </c>
      <c r="D156" s="1" t="n">
        <v>46072</v>
      </c>
      <c r="E156" s="1" t="n">
        <v>46313</v>
      </c>
      <c r="F156" t="inlineStr">
        <is>
          <t>VÄSTRA GÖTALANDS LÄN</t>
        </is>
      </c>
      <c r="G156" t="inlineStr">
        <is>
          <t>ÅMÅL</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9821-2026</t>
        </is>
      </c>
      <c r="B157" t="inlineStr">
        <is>
          <t>avverkningsanmälan</t>
        </is>
      </c>
      <c r="C157" t="inlineStr">
        <is>
          <t>Föryngringsavverkning</t>
        </is>
      </c>
      <c r="D157" s="1" t="n">
        <v>46072</v>
      </c>
      <c r="E157" s="1" t="n">
        <v>46313</v>
      </c>
      <c r="F157" t="inlineStr">
        <is>
          <t>VÄSTRA GÖTALANDS LÄN</t>
        </is>
      </c>
      <c r="G157" t="inlineStr">
        <is>
          <t>ÅMÅL</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24096-2026</t>
        </is>
      </c>
      <c r="B158" t="inlineStr">
        <is>
          <t>avverkningsanmälan</t>
        </is>
      </c>
      <c r="C158" t="inlineStr">
        <is>
          <t>Föryngringsavverkning</t>
        </is>
      </c>
      <c r="D158" s="1" t="n">
        <v>46168</v>
      </c>
      <c r="E158" s="1" t="n">
        <v>46313</v>
      </c>
      <c r="F158" t="inlineStr">
        <is>
          <t>VÄSTRA GÖTALANDS LÄN</t>
        </is>
      </c>
      <c r="G158" t="inlineStr">
        <is>
          <t>ÅMÅL</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12517-2026</t>
        </is>
      </c>
      <c r="B159" t="inlineStr">
        <is>
          <t>avverkningsanmälan</t>
        </is>
      </c>
      <c r="C159" t="inlineStr">
        <is>
          <t>Föryngringsavverkning</t>
        </is>
      </c>
      <c r="D159" s="1" t="n">
        <v>46090</v>
      </c>
      <c r="E159" s="1" t="n">
        <v>46313</v>
      </c>
      <c r="F159" t="inlineStr">
        <is>
          <t>VÄSTRA GÖTALANDS LÄN</t>
        </is>
      </c>
      <c r="G159" t="inlineStr">
        <is>
          <t>ÅMÅL</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12567-2026</t>
        </is>
      </c>
      <c r="B160" t="inlineStr">
        <is>
          <t>avverkningsanmälan</t>
        </is>
      </c>
      <c r="C160" t="inlineStr">
        <is>
          <t>Föryngringsavverkning</t>
        </is>
      </c>
      <c r="D160" s="1" t="n">
        <v>46090</v>
      </c>
      <c r="E160" s="1" t="n">
        <v>46313</v>
      </c>
      <c r="F160" t="inlineStr">
        <is>
          <t>VÄSTRA GÖTALANDS LÄN</t>
        </is>
      </c>
      <c r="G160" t="inlineStr">
        <is>
          <t>ÅMÅL</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5966-2024</t>
        </is>
      </c>
      <c r="B161" t="inlineStr">
        <is>
          <t>avverkningsanmälan</t>
        </is>
      </c>
      <c r="C161" t="inlineStr">
        <is>
          <t>Föryngringsavverkning</t>
        </is>
      </c>
      <c r="D161" s="1" t="n">
        <v>45336</v>
      </c>
      <c r="E161" s="1" t="n">
        <v>46313</v>
      </c>
      <c r="F161" t="inlineStr">
        <is>
          <t>VÄSTRA GÖTALANDS LÄN</t>
        </is>
      </c>
      <c r="G161" t="inlineStr">
        <is>
          <t>ÅMÅL</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45667-2022</t>
        </is>
      </c>
      <c r="B162" t="inlineStr">
        <is>
          <t>avverkningsanmälan</t>
        </is>
      </c>
      <c r="C162" t="inlineStr">
        <is>
          <t>Föryngringsavverkning</t>
        </is>
      </c>
      <c r="D162" s="1" t="n">
        <v>44845</v>
      </c>
      <c r="E162" s="1" t="n">
        <v>46313</v>
      </c>
      <c r="F162" t="inlineStr">
        <is>
          <t>VÄSTRA GÖTALANDS LÄN</t>
        </is>
      </c>
      <c r="G162" t="inlineStr">
        <is>
          <t>ÅMÅL</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19914-2025</t>
        </is>
      </c>
      <c r="B163" t="inlineStr">
        <is>
          <t>avverkningsanmälan</t>
        </is>
      </c>
      <c r="C163" t="inlineStr">
        <is>
          <t>Föryngringsavverkning</t>
        </is>
      </c>
      <c r="D163" s="1" t="n">
        <v>45771</v>
      </c>
      <c r="E163" s="1" t="n">
        <v>46313</v>
      </c>
      <c r="F163" t="inlineStr">
        <is>
          <t>VÄSTRA GÖTALANDS LÄN</t>
        </is>
      </c>
      <c r="G163" t="inlineStr">
        <is>
          <t>ÅMÅL</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40261-2024</t>
        </is>
      </c>
      <c r="B164" t="inlineStr">
        <is>
          <t>avverkningsanmälan</t>
        </is>
      </c>
      <c r="C164" t="inlineStr">
        <is>
          <t>Föryngringsavverkning</t>
        </is>
      </c>
      <c r="D164" s="1" t="n">
        <v>45554</v>
      </c>
      <c r="E164" s="1" t="n">
        <v>46313</v>
      </c>
      <c r="F164" t="inlineStr">
        <is>
          <t>VÄSTRA GÖTALANDS LÄN</t>
        </is>
      </c>
      <c r="G164" t="inlineStr">
        <is>
          <t>ÅMÅL</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14660-2023</t>
        </is>
      </c>
      <c r="B165" t="inlineStr">
        <is>
          <t>avverkningsanmälan</t>
        </is>
      </c>
      <c r="C165" t="inlineStr">
        <is>
          <t>Föryngringsavverkning</t>
        </is>
      </c>
      <c r="D165" s="1" t="n">
        <v>45013</v>
      </c>
      <c r="E165" s="1" t="n">
        <v>46313</v>
      </c>
      <c r="F165" t="inlineStr">
        <is>
          <t>VÄSTRA GÖTALANDS LÄN</t>
        </is>
      </c>
      <c r="G165" t="inlineStr">
        <is>
          <t>ÅMÅL</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17686-2026</t>
        </is>
      </c>
      <c r="B166" t="inlineStr">
        <is>
          <t>avverkningsanmälan</t>
        </is>
      </c>
      <c r="C166" t="inlineStr">
        <is>
          <t>Föryngringsavverkning</t>
        </is>
      </c>
      <c r="D166" s="1" t="n">
        <v>46121</v>
      </c>
      <c r="E166" s="1" t="n">
        <v>46313</v>
      </c>
      <c r="F166" t="inlineStr">
        <is>
          <t>VÄSTRA GÖTALANDS LÄN</t>
        </is>
      </c>
      <c r="G166" t="inlineStr">
        <is>
          <t>ÅMÅL</t>
        </is>
      </c>
      <c r="H166" t="inlineStr">
        <is>
          <t>Bergvik skog väst AB</t>
        </is>
      </c>
      <c r="I166" t="n">
        <v>4.6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45019-2025</t>
        </is>
      </c>
      <c r="B167" t="inlineStr">
        <is>
          <t>avverkningsanmälan</t>
        </is>
      </c>
      <c r="C167" t="inlineStr">
        <is>
          <t>Föryngringsavverkning</t>
        </is>
      </c>
      <c r="D167" s="1" t="n">
        <v>45918</v>
      </c>
      <c r="E167" s="1" t="n">
        <v>46313</v>
      </c>
      <c r="F167" t="inlineStr">
        <is>
          <t>VÄSTRA GÖTALANDS LÄN</t>
        </is>
      </c>
      <c r="G167" t="inlineStr">
        <is>
          <t>ÅMÅL</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29615-2026</t>
        </is>
      </c>
      <c r="B168" t="inlineStr">
        <is>
          <t>avverkningsanmälan</t>
        </is>
      </c>
      <c r="C168" t="inlineStr">
        <is>
          <t>Föryngringsavverkning</t>
        </is>
      </c>
      <c r="D168" s="1" t="n">
        <v>46204</v>
      </c>
      <c r="E168" s="1" t="n">
        <v>46313</v>
      </c>
      <c r="F168" t="inlineStr">
        <is>
          <t>VÄSTRA GÖTALANDS LÄN</t>
        </is>
      </c>
      <c r="G168" t="inlineStr">
        <is>
          <t>ÅMÅL</t>
        </is>
      </c>
      <c r="H168" t="inlineStr">
        <is>
          <t>Kommuner</t>
        </is>
      </c>
      <c r="I168" t="n">
        <v>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60148-2022</t>
        </is>
      </c>
      <c r="B169" t="inlineStr">
        <is>
          <t>avverkningsanmälan</t>
        </is>
      </c>
      <c r="C169" t="inlineStr">
        <is>
          <t>Föryngringsavverkning</t>
        </is>
      </c>
      <c r="D169" s="1" t="n">
        <v>44909</v>
      </c>
      <c r="E169" s="1" t="n">
        <v>46313</v>
      </c>
      <c r="F169" t="inlineStr">
        <is>
          <t>VÄSTRA GÖTALANDS LÄN</t>
        </is>
      </c>
      <c r="G169" t="inlineStr">
        <is>
          <t>ÅMÅL</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58266-2022</t>
        </is>
      </c>
      <c r="B170" t="inlineStr">
        <is>
          <t>avverkningsanmälan</t>
        </is>
      </c>
      <c r="C170" t="inlineStr">
        <is>
          <t>Föryngringsavverkning</t>
        </is>
      </c>
      <c r="D170" s="1" t="n">
        <v>44901</v>
      </c>
      <c r="E170" s="1" t="n">
        <v>46313</v>
      </c>
      <c r="F170" t="inlineStr">
        <is>
          <t>VÄSTRA GÖTALANDS LÄN</t>
        </is>
      </c>
      <c r="G170" t="inlineStr">
        <is>
          <t>ÅMÅL</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32037-2023</t>
        </is>
      </c>
      <c r="B171" t="inlineStr">
        <is>
          <t>avverkningsanmälan</t>
        </is>
      </c>
      <c r="C171" t="inlineStr">
        <is>
          <t>Föryngringsavverkning</t>
        </is>
      </c>
      <c r="D171" s="1" t="n">
        <v>45119</v>
      </c>
      <c r="E171" s="1" t="n">
        <v>46313</v>
      </c>
      <c r="F171" t="inlineStr">
        <is>
          <t>VÄSTRA GÖTALANDS LÄN</t>
        </is>
      </c>
      <c r="G171" t="inlineStr">
        <is>
          <t>ÅMÅL</t>
        </is>
      </c>
      <c r="I171" t="n">
        <v>1.6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53617-2022</t>
        </is>
      </c>
      <c r="B172" t="inlineStr">
        <is>
          <t>avverkningsanmälan</t>
        </is>
      </c>
      <c r="C172" t="inlineStr">
        <is>
          <t>Avverkning för annat ändamål</t>
        </is>
      </c>
      <c r="D172" s="1" t="n">
        <v>44879</v>
      </c>
      <c r="E172" s="1" t="n">
        <v>46313</v>
      </c>
      <c r="F172" t="inlineStr">
        <is>
          <t>VÄSTRA GÖTALANDS LÄN</t>
        </is>
      </c>
      <c r="G172" t="inlineStr">
        <is>
          <t>ÅMÅL</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18528-2023</t>
        </is>
      </c>
      <c r="B173" t="inlineStr">
        <is>
          <t>avverkningsanmälan</t>
        </is>
      </c>
      <c r="C173" t="inlineStr">
        <is>
          <t>Föryngringsavverkning</t>
        </is>
      </c>
      <c r="D173" s="1" t="n">
        <v>45042</v>
      </c>
      <c r="E173" s="1" t="n">
        <v>46313</v>
      </c>
      <c r="F173" t="inlineStr">
        <is>
          <t>VÄSTRA GÖTALANDS LÄN</t>
        </is>
      </c>
      <c r="G173" t="inlineStr">
        <is>
          <t>ÅMÅL</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30767-2026</t>
        </is>
      </c>
      <c r="B174" t="inlineStr">
        <is>
          <t>avverkningsanmälan</t>
        </is>
      </c>
      <c r="C174" t="inlineStr">
        <is>
          <t>Föryngringsavverkning</t>
        </is>
      </c>
      <c r="D174" s="1" t="n">
        <v>46212</v>
      </c>
      <c r="E174" s="1" t="n">
        <v>46313</v>
      </c>
      <c r="F174" t="inlineStr">
        <is>
          <t>VÄSTRA GÖTALANDS LÄN</t>
        </is>
      </c>
      <c r="G174" t="inlineStr">
        <is>
          <t>ÅMÅL</t>
        </is>
      </c>
      <c r="H174" t="inlineStr">
        <is>
          <t>Kommuner</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18970-2023</t>
        </is>
      </c>
      <c r="B175" t="inlineStr">
        <is>
          <t>avverkningsanmälan</t>
        </is>
      </c>
      <c r="C175" t="inlineStr">
        <is>
          <t>Föryngringsavverkning</t>
        </is>
      </c>
      <c r="D175" s="1" t="n">
        <v>45044</v>
      </c>
      <c r="E175" s="1" t="n">
        <v>46313</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29996-2023</t>
        </is>
      </c>
      <c r="B176" t="inlineStr">
        <is>
          <t>avverkningsanmälan</t>
        </is>
      </c>
      <c r="C176" t="inlineStr">
        <is>
          <t>Föryngringsavverkning</t>
        </is>
      </c>
      <c r="D176" s="1" t="n">
        <v>45109</v>
      </c>
      <c r="E176" s="1" t="n">
        <v>46313</v>
      </c>
      <c r="F176" t="inlineStr">
        <is>
          <t>VÄSTRA GÖTALANDS LÄN</t>
        </is>
      </c>
      <c r="G176" t="inlineStr">
        <is>
          <t>ÅMÅL</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31605-2026</t>
        </is>
      </c>
      <c r="B177" t="inlineStr">
        <is>
          <t>avverkningsanmälan</t>
        </is>
      </c>
      <c r="C177" t="inlineStr">
        <is>
          <t>Avverkning för annat ändamål</t>
        </is>
      </c>
      <c r="D177" s="1" t="n">
        <v>46224</v>
      </c>
      <c r="E177" s="1" t="n">
        <v>46313</v>
      </c>
      <c r="F177" t="inlineStr">
        <is>
          <t>VÄSTRA GÖTALANDS LÄN</t>
        </is>
      </c>
      <c r="G177" t="inlineStr">
        <is>
          <t>ÅMÅL</t>
        </is>
      </c>
      <c r="I177" t="n">
        <v>7.2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51257-2022</t>
        </is>
      </c>
      <c r="B178" t="inlineStr">
        <is>
          <t>avverkningsanmälan</t>
        </is>
      </c>
      <c r="C178" t="inlineStr">
        <is>
          <t>Föryngringsavverkning</t>
        </is>
      </c>
      <c r="D178" s="1" t="n">
        <v>44866</v>
      </c>
      <c r="E178" s="1" t="n">
        <v>46313</v>
      </c>
      <c r="F178" t="inlineStr">
        <is>
          <t>VÄSTRA GÖTALANDS LÄN</t>
        </is>
      </c>
      <c r="G178" t="inlineStr">
        <is>
          <t>ÅMÅL</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53885-2022</t>
        </is>
      </c>
      <c r="B179" t="inlineStr">
        <is>
          <t>avverkningsanmälan</t>
        </is>
      </c>
      <c r="C179" t="inlineStr">
        <is>
          <t>Föryngringsavverkning</t>
        </is>
      </c>
      <c r="D179" s="1" t="n">
        <v>44876</v>
      </c>
      <c r="E179" s="1" t="n">
        <v>46313</v>
      </c>
      <c r="F179" t="inlineStr">
        <is>
          <t>VÄSTRA GÖTALANDS LÄN</t>
        </is>
      </c>
      <c r="G179" t="inlineStr">
        <is>
          <t>ÅMÅL</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34532-2023</t>
        </is>
      </c>
      <c r="B180" t="inlineStr">
        <is>
          <t>avverkningsanmälan</t>
        </is>
      </c>
      <c r="C180" t="inlineStr">
        <is>
          <t>Föryngringsavverkning</t>
        </is>
      </c>
      <c r="D180" s="1" t="n">
        <v>45140</v>
      </c>
      <c r="E180" s="1" t="n">
        <v>46313</v>
      </c>
      <c r="F180" t="inlineStr">
        <is>
          <t>VÄSTRA GÖTALANDS LÄN</t>
        </is>
      </c>
      <c r="G180" t="inlineStr">
        <is>
          <t>ÅMÅL</t>
        </is>
      </c>
      <c r="I180" t="n">
        <v>3.9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34417-2024</t>
        </is>
      </c>
      <c r="B181" t="inlineStr">
        <is>
          <t>avverkningsanmälan</t>
        </is>
      </c>
      <c r="C181" t="inlineStr">
        <is>
          <t>Föryngringsavverkning</t>
        </is>
      </c>
      <c r="D181" s="1" t="n">
        <v>45525</v>
      </c>
      <c r="E181" s="1" t="n">
        <v>46313</v>
      </c>
      <c r="F181" t="inlineStr">
        <is>
          <t>VÄSTRA GÖTALANDS LÄN</t>
        </is>
      </c>
      <c r="G181" t="inlineStr">
        <is>
          <t>ÅMÅL</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32110-2026</t>
        </is>
      </c>
      <c r="B182" t="inlineStr">
        <is>
          <t>avverkningsanmälan</t>
        </is>
      </c>
      <c r="C182" t="inlineStr">
        <is>
          <t>Föryngringsavverkning</t>
        </is>
      </c>
      <c r="D182" s="1" t="n">
        <v>46234</v>
      </c>
      <c r="E182" s="1" t="n">
        <v>46313</v>
      </c>
      <c r="F182" t="inlineStr">
        <is>
          <t>VÄSTRA GÖTALANDS LÄN</t>
        </is>
      </c>
      <c r="G182" t="inlineStr">
        <is>
          <t>ÅMÅL</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32108-2026</t>
        </is>
      </c>
      <c r="B183" t="inlineStr">
        <is>
          <t>avverkningsanmälan</t>
        </is>
      </c>
      <c r="C183" t="inlineStr">
        <is>
          <t>Föryngringsavverkning</t>
        </is>
      </c>
      <c r="D183" s="1" t="n">
        <v>46234</v>
      </c>
      <c r="E183" s="1" t="n">
        <v>46313</v>
      </c>
      <c r="F183" t="inlineStr">
        <is>
          <t>VÄSTRA GÖTALANDS LÄN</t>
        </is>
      </c>
      <c r="G183" t="inlineStr">
        <is>
          <t>ÅMÅL</t>
        </is>
      </c>
      <c r="I183" t="n">
        <v>4.5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48276-2022</t>
        </is>
      </c>
      <c r="B184" t="inlineStr">
        <is>
          <t>avverkningsanmälan</t>
        </is>
      </c>
      <c r="C184" t="inlineStr">
        <is>
          <t>Föryngringsavverkning</t>
        </is>
      </c>
      <c r="D184" s="1" t="n">
        <v>44858</v>
      </c>
      <c r="E184" s="1" t="n">
        <v>46313</v>
      </c>
      <c r="F184" t="inlineStr">
        <is>
          <t>VÄSTRA GÖTALANDS LÄN</t>
        </is>
      </c>
      <c r="G184" t="inlineStr">
        <is>
          <t>ÅMÅL</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23185-2024</t>
        </is>
      </c>
      <c r="B185" t="inlineStr">
        <is>
          <t>avverkningsanmälan</t>
        </is>
      </c>
      <c r="C185" t="inlineStr">
        <is>
          <t>Föryngringsavverkning</t>
        </is>
      </c>
      <c r="D185" s="1" t="n">
        <v>45450</v>
      </c>
      <c r="E185" s="1" t="n">
        <v>46313</v>
      </c>
      <c r="F185" t="inlineStr">
        <is>
          <t>VÄSTRA GÖTALANDS LÄN</t>
        </is>
      </c>
      <c r="G185" t="inlineStr">
        <is>
          <t>ÅMÅL</t>
        </is>
      </c>
      <c r="I185" t="n">
        <v>2.8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15466-2023</t>
        </is>
      </c>
      <c r="B186" t="inlineStr">
        <is>
          <t>avverkningsanmälan</t>
        </is>
      </c>
      <c r="C186" t="inlineStr">
        <is>
          <t>Föryngringsavverkning</t>
        </is>
      </c>
      <c r="D186" s="1" t="n">
        <v>45019</v>
      </c>
      <c r="E186" s="1" t="n">
        <v>46313</v>
      </c>
      <c r="F186" t="inlineStr">
        <is>
          <t>VÄSTRA GÖTALANDS LÄN</t>
        </is>
      </c>
      <c r="G186" t="inlineStr">
        <is>
          <t>ÅMÅL</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45086-2024</t>
        </is>
      </c>
      <c r="B187" t="inlineStr">
        <is>
          <t>avverkningsanmälan</t>
        </is>
      </c>
      <c r="C187" t="inlineStr">
        <is>
          <t>Föryngringsavverkning</t>
        </is>
      </c>
      <c r="D187" s="1" t="n">
        <v>45575</v>
      </c>
      <c r="E187" s="1" t="n">
        <v>46313</v>
      </c>
      <c r="F187" t="inlineStr">
        <is>
          <t>VÄSTRA GÖTALANDS LÄN</t>
        </is>
      </c>
      <c r="G187" t="inlineStr">
        <is>
          <t>ÅMÅL</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54877-2023</t>
        </is>
      </c>
      <c r="B188" t="inlineStr">
        <is>
          <t>avverkningsanmälan</t>
        </is>
      </c>
      <c r="C188" t="inlineStr">
        <is>
          <t>Föryngringsavverkning</t>
        </is>
      </c>
      <c r="D188" s="1" t="n">
        <v>45229</v>
      </c>
      <c r="E188" s="1" t="n">
        <v>46313</v>
      </c>
      <c r="F188" t="inlineStr">
        <is>
          <t>VÄSTRA GÖTALANDS LÄN</t>
        </is>
      </c>
      <c r="G188" t="inlineStr">
        <is>
          <t>ÅMÅL</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51056-2022</t>
        </is>
      </c>
      <c r="B189" t="inlineStr">
        <is>
          <t>avverkningsanmälan</t>
        </is>
      </c>
      <c r="C189" t="inlineStr">
        <is>
          <t>Föryngringsavverkning</t>
        </is>
      </c>
      <c r="D189" s="1" t="n">
        <v>44868</v>
      </c>
      <c r="E189" s="1" t="n">
        <v>46313</v>
      </c>
      <c r="F189" t="inlineStr">
        <is>
          <t>VÄSTRA GÖTALANDS LÄN</t>
        </is>
      </c>
      <c r="G189" t="inlineStr">
        <is>
          <t>ÅMÅL</t>
        </is>
      </c>
      <c r="I189" t="n">
        <v>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32629-2026</t>
        </is>
      </c>
      <c r="B190" t="inlineStr">
        <is>
          <t>avverkningsanmälan</t>
        </is>
      </c>
      <c r="C190" t="inlineStr">
        <is>
          <t>Föryngringsavverkning</t>
        </is>
      </c>
      <c r="D190" s="1" t="n">
        <v>46240</v>
      </c>
      <c r="E190" s="1" t="n">
        <v>46313</v>
      </c>
      <c r="F190" t="inlineStr">
        <is>
          <t>VÄSTRA GÖTALANDS LÄN</t>
        </is>
      </c>
      <c r="G190" t="inlineStr">
        <is>
          <t>ÅMÅL</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30616-2024</t>
        </is>
      </c>
      <c r="B191" t="inlineStr">
        <is>
          <t>avverkningsanmälan</t>
        </is>
      </c>
      <c r="C191" t="inlineStr">
        <is>
          <t>Föryngringsavverkning</t>
        </is>
      </c>
      <c r="D191" s="1" t="n">
        <v>45495</v>
      </c>
      <c r="E191" s="1" t="n">
        <v>46313</v>
      </c>
      <c r="F191" t="inlineStr">
        <is>
          <t>VÄSTRA GÖTALANDS LÄN</t>
        </is>
      </c>
      <c r="G191" t="inlineStr">
        <is>
          <t>ÅMÅL</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32634-2026</t>
        </is>
      </c>
      <c r="B192" t="inlineStr">
        <is>
          <t>avverkningsanmälan</t>
        </is>
      </c>
      <c r="C192" t="inlineStr">
        <is>
          <t>Föryngringsavverkning</t>
        </is>
      </c>
      <c r="D192" s="1" t="n">
        <v>46240</v>
      </c>
      <c r="E192" s="1" t="n">
        <v>46313</v>
      </c>
      <c r="F192" t="inlineStr">
        <is>
          <t>VÄSTRA GÖTALANDS LÄN</t>
        </is>
      </c>
      <c r="G192" t="inlineStr">
        <is>
          <t>ÅMÅL</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10951-2024</t>
        </is>
      </c>
      <c r="B193" t="inlineStr">
        <is>
          <t>avverkningsanmälan</t>
        </is>
      </c>
      <c r="C193" t="inlineStr">
        <is>
          <t>Föryngringsavverkning</t>
        </is>
      </c>
      <c r="D193" s="1" t="n">
        <v>45370</v>
      </c>
      <c r="E193" s="1" t="n">
        <v>46313</v>
      </c>
      <c r="F193" t="inlineStr">
        <is>
          <t>VÄSTRA GÖTALANDS LÄN</t>
        </is>
      </c>
      <c r="G193" t="inlineStr">
        <is>
          <t>ÅMÅL</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32675-2026</t>
        </is>
      </c>
      <c r="B194" t="inlineStr">
        <is>
          <t>avverkningsanmälan</t>
        </is>
      </c>
      <c r="C194" t="inlineStr">
        <is>
          <t>Föryngringsavverkning</t>
        </is>
      </c>
      <c r="D194" s="1" t="n">
        <v>46240</v>
      </c>
      <c r="E194" s="1" t="n">
        <v>46313</v>
      </c>
      <c r="F194" t="inlineStr">
        <is>
          <t>VÄSTRA GÖTALANDS LÄN</t>
        </is>
      </c>
      <c r="G194" t="inlineStr">
        <is>
          <t>ÅMÅL</t>
        </is>
      </c>
      <c r="H194" t="inlineStr">
        <is>
          <t>Bergvik skog väst AB</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32519-2026</t>
        </is>
      </c>
      <c r="B195" t="inlineStr">
        <is>
          <t>avverkningsanmälan</t>
        </is>
      </c>
      <c r="C195" t="inlineStr">
        <is>
          <t>Föryngringsavverkning</t>
        </is>
      </c>
      <c r="D195" s="1" t="n">
        <v>46239</v>
      </c>
      <c r="E195" s="1" t="n">
        <v>46313</v>
      </c>
      <c r="F195" t="inlineStr">
        <is>
          <t>VÄSTRA GÖTALANDS LÄN</t>
        </is>
      </c>
      <c r="G195" t="inlineStr">
        <is>
          <t>ÅMÅL</t>
        </is>
      </c>
      <c r="I195" t="n">
        <v>7.2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27836-2023</t>
        </is>
      </c>
      <c r="B196" t="inlineStr">
        <is>
          <t>avverkningsanmälan</t>
        </is>
      </c>
      <c r="C196" t="inlineStr">
        <is>
          <t>Föryngringsavverkning</t>
        </is>
      </c>
      <c r="D196" s="1" t="n">
        <v>45098</v>
      </c>
      <c r="E196" s="1" t="n">
        <v>46313</v>
      </c>
      <c r="F196" t="inlineStr">
        <is>
          <t>VÄSTRA GÖTALANDS LÄN</t>
        </is>
      </c>
      <c r="G196" t="inlineStr">
        <is>
          <t>ÅMÅL</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2027-2022</t>
        </is>
      </c>
      <c r="B197" t="inlineStr">
        <is>
          <t>avverkningsanmälan</t>
        </is>
      </c>
      <c r="C197" t="inlineStr">
        <is>
          <t>Föryngringsavverkning</t>
        </is>
      </c>
      <c r="D197" s="1" t="n">
        <v>44575</v>
      </c>
      <c r="E197" s="1" t="n">
        <v>46313</v>
      </c>
      <c r="F197" t="inlineStr">
        <is>
          <t>VÄSTRA GÖTALANDS LÄN</t>
        </is>
      </c>
      <c r="G197" t="inlineStr">
        <is>
          <t>ÅMÅL</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54943-2023</t>
        </is>
      </c>
      <c r="B198" t="inlineStr">
        <is>
          <t>avverkningsanmälan</t>
        </is>
      </c>
      <c r="C198" t="inlineStr">
        <is>
          <t>Föryngringsavverkning</t>
        </is>
      </c>
      <c r="D198" s="1" t="n">
        <v>45236</v>
      </c>
      <c r="E198" s="1" t="n">
        <v>46313</v>
      </c>
      <c r="F198" t="inlineStr">
        <is>
          <t>VÄSTRA GÖTALANDS LÄN</t>
        </is>
      </c>
      <c r="G198" t="inlineStr">
        <is>
          <t>ÅMÅL</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14225-2022</t>
        </is>
      </c>
      <c r="B199" t="inlineStr">
        <is>
          <t>avverkningsanmälan</t>
        </is>
      </c>
      <c r="C199" t="inlineStr">
        <is>
          <t>Föryngringsavverkning</t>
        </is>
      </c>
      <c r="D199" s="1" t="n">
        <v>44651</v>
      </c>
      <c r="E199" s="1" t="n">
        <v>46313</v>
      </c>
      <c r="F199" t="inlineStr">
        <is>
          <t>VÄSTRA GÖTALANDS LÄN</t>
        </is>
      </c>
      <c r="G199" t="inlineStr">
        <is>
          <t>ÅMÅL</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39411-2026</t>
        </is>
      </c>
      <c r="B200" t="inlineStr">
        <is>
          <t>avverkningsanmälan</t>
        </is>
      </c>
      <c r="C200" t="inlineStr">
        <is>
          <t>Föryngringsavverkning</t>
        </is>
      </c>
      <c r="D200" s="1" t="n">
        <v>46288</v>
      </c>
      <c r="E200" s="1" t="n">
        <v>46313</v>
      </c>
      <c r="F200" t="inlineStr">
        <is>
          <t>VÄSTRA GÖTALANDS LÄN</t>
        </is>
      </c>
      <c r="G200" t="inlineStr">
        <is>
          <t>ÅMÅL</t>
        </is>
      </c>
      <c r="H200" t="inlineStr">
        <is>
          <t>Bergvik skog väst AB</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52321-2023</t>
        </is>
      </c>
      <c r="B201" t="inlineStr">
        <is>
          <t>avverkningsanmälan</t>
        </is>
      </c>
      <c r="C201" t="inlineStr">
        <is>
          <t>Föryngringsavverkning</t>
        </is>
      </c>
      <c r="D201" s="1" t="n">
        <v>45224</v>
      </c>
      <c r="E201" s="1" t="n">
        <v>46313</v>
      </c>
      <c r="F201" t="inlineStr">
        <is>
          <t>VÄSTRA GÖTALANDS LÄN</t>
        </is>
      </c>
      <c r="G201" t="inlineStr">
        <is>
          <t>ÅMÅL</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34979-2024</t>
        </is>
      </c>
      <c r="B202" t="inlineStr">
        <is>
          <t>avverkningsanmälan</t>
        </is>
      </c>
      <c r="C202" t="inlineStr">
        <is>
          <t>Föryngringsavverkning</t>
        </is>
      </c>
      <c r="D202" s="1" t="n">
        <v>45527</v>
      </c>
      <c r="E202" s="1" t="n">
        <v>46313</v>
      </c>
      <c r="F202" t="inlineStr">
        <is>
          <t>VÄSTRA GÖTALANDS LÄN</t>
        </is>
      </c>
      <c r="G202" t="inlineStr">
        <is>
          <t>ÅMÅL</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33168-2026</t>
        </is>
      </c>
      <c r="B203" t="inlineStr">
        <is>
          <t>avverkningsanmälan</t>
        </is>
      </c>
      <c r="C203" t="inlineStr">
        <is>
          <t>Föryngringsavverkning</t>
        </is>
      </c>
      <c r="D203" s="1" t="n">
        <v>46245</v>
      </c>
      <c r="E203" s="1" t="n">
        <v>46313</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33465-2026</t>
        </is>
      </c>
      <c r="B204" t="inlineStr">
        <is>
          <t>avverkningsanmälan</t>
        </is>
      </c>
      <c r="C204" t="inlineStr">
        <is>
          <t>Föryngringsavverkning</t>
        </is>
      </c>
      <c r="D204" s="1" t="n">
        <v>46246</v>
      </c>
      <c r="E204" s="1" t="n">
        <v>46313</v>
      </c>
      <c r="F204" t="inlineStr">
        <is>
          <t>VÄSTRA GÖTALANDS LÄN</t>
        </is>
      </c>
      <c r="G204" t="inlineStr">
        <is>
          <t>ÅMÅL</t>
        </is>
      </c>
      <c r="H204" t="inlineStr">
        <is>
          <t>Bergvik skog väst AB</t>
        </is>
      </c>
      <c r="I204" t="n">
        <v>13.1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52384-2024</t>
        </is>
      </c>
      <c r="B205" t="inlineStr">
        <is>
          <t>avverkningsanmälan</t>
        </is>
      </c>
      <c r="C205" t="inlineStr">
        <is>
          <t>Föryngringsavverkning</t>
        </is>
      </c>
      <c r="D205" s="1" t="n">
        <v>45609</v>
      </c>
      <c r="E205" s="1" t="n">
        <v>46313</v>
      </c>
      <c r="F205" t="inlineStr">
        <is>
          <t>VÄSTRA GÖTALANDS LÄN</t>
        </is>
      </c>
      <c r="G205" t="inlineStr">
        <is>
          <t>ÅMÅL</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40493-2022</t>
        </is>
      </c>
      <c r="B206" t="inlineStr">
        <is>
          <t>avverkningsanmälan</t>
        </is>
      </c>
      <c r="C206" t="inlineStr">
        <is>
          <t>Föryngringsavverkning</t>
        </is>
      </c>
      <c r="D206" s="1" t="n">
        <v>44819</v>
      </c>
      <c r="E206" s="1" t="n">
        <v>46313</v>
      </c>
      <c r="F206" t="inlineStr">
        <is>
          <t>VÄSTRA GÖTALANDS LÄN</t>
        </is>
      </c>
      <c r="G206" t="inlineStr">
        <is>
          <t>ÅMÅL</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55256-2024</t>
        </is>
      </c>
      <c r="B207" t="inlineStr">
        <is>
          <t>avverkningsanmälan</t>
        </is>
      </c>
      <c r="C207" t="inlineStr">
        <is>
          <t>Föryngringsavverkning</t>
        </is>
      </c>
      <c r="D207" s="1" t="n">
        <v>45620</v>
      </c>
      <c r="E207" s="1" t="n">
        <v>46313</v>
      </c>
      <c r="F207" t="inlineStr">
        <is>
          <t>VÄSTRA GÖTALANDS LÄN</t>
        </is>
      </c>
      <c r="G207" t="inlineStr">
        <is>
          <t>ÅMÅL</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56218-2022</t>
        </is>
      </c>
      <c r="B208" t="inlineStr">
        <is>
          <t>avverkningsanmälan</t>
        </is>
      </c>
      <c r="C208" t="inlineStr">
        <is>
          <t>Föryngringsavverkning</t>
        </is>
      </c>
      <c r="D208" s="1" t="n">
        <v>44890</v>
      </c>
      <c r="E208" s="1" t="n">
        <v>46313</v>
      </c>
      <c r="F208" t="inlineStr">
        <is>
          <t>VÄSTRA GÖTALANDS LÄN</t>
        </is>
      </c>
      <c r="G208" t="inlineStr">
        <is>
          <t>ÅMÅL</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47692-2024</t>
        </is>
      </c>
      <c r="B209" t="inlineStr">
        <is>
          <t>avverkningsanmälan</t>
        </is>
      </c>
      <c r="C209" t="inlineStr">
        <is>
          <t>Föryngringsavverkning</t>
        </is>
      </c>
      <c r="D209" s="1" t="n">
        <v>45588</v>
      </c>
      <c r="E209" s="1" t="n">
        <v>46313</v>
      </c>
      <c r="F209" t="inlineStr">
        <is>
          <t>VÄSTRA GÖTALANDS LÄN</t>
        </is>
      </c>
      <c r="G209" t="inlineStr">
        <is>
          <t>ÅMÅL</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40571-2026</t>
        </is>
      </c>
      <c r="B210" t="inlineStr">
        <is>
          <t>avverkningsanmälan</t>
        </is>
      </c>
      <c r="C210" t="inlineStr">
        <is>
          <t>Föryngringsavverkning</t>
        </is>
      </c>
      <c r="D210" s="1" t="n">
        <v>46295</v>
      </c>
      <c r="E210" s="1" t="n">
        <v>46313</v>
      </c>
      <c r="F210" t="inlineStr">
        <is>
          <t>VÄSTRA GÖTALANDS LÄN</t>
        </is>
      </c>
      <c r="G210" t="inlineStr">
        <is>
          <t>ÅMÅL</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69487-2021</t>
        </is>
      </c>
      <c r="B211" t="inlineStr">
        <is>
          <t>avverkningsanmälan</t>
        </is>
      </c>
      <c r="C211" t="inlineStr">
        <is>
          <t>Föryngringsavverkning</t>
        </is>
      </c>
      <c r="D211" s="1" t="n">
        <v>44531</v>
      </c>
      <c r="E211" s="1" t="n">
        <v>46313</v>
      </c>
      <c r="F211" t="inlineStr">
        <is>
          <t>VÄSTRA GÖTALANDS LÄN</t>
        </is>
      </c>
      <c r="G211" t="inlineStr">
        <is>
          <t>ÅMÅL</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27831-2023</t>
        </is>
      </c>
      <c r="B212" t="inlineStr">
        <is>
          <t>avverkningsanmälan</t>
        </is>
      </c>
      <c r="C212" t="inlineStr">
        <is>
          <t>Föryngringsavverkning</t>
        </is>
      </c>
      <c r="D212" s="1" t="n">
        <v>45098</v>
      </c>
      <c r="E212" s="1" t="n">
        <v>46313</v>
      </c>
      <c r="F212" t="inlineStr">
        <is>
          <t>VÄSTRA GÖTALANDS LÄN</t>
        </is>
      </c>
      <c r="G212" t="inlineStr">
        <is>
          <t>ÅMÅL</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40299-2026</t>
        </is>
      </c>
      <c r="B213" t="inlineStr">
        <is>
          <t>avverkningsanmälan</t>
        </is>
      </c>
      <c r="C213" t="inlineStr">
        <is>
          <t>Föryngringsavverkning</t>
        </is>
      </c>
      <c r="D213" s="1" t="n">
        <v>46294</v>
      </c>
      <c r="E213" s="1" t="n">
        <v>46313</v>
      </c>
      <c r="F213" t="inlineStr">
        <is>
          <t>VÄSTRA GÖTALANDS LÄN</t>
        </is>
      </c>
      <c r="G213" t="inlineStr">
        <is>
          <t>ÅMÅL</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54176-2024</t>
        </is>
      </c>
      <c r="B214" t="inlineStr">
        <is>
          <t>avverkningsanmälan</t>
        </is>
      </c>
      <c r="C214" t="inlineStr">
        <is>
          <t>Föryngringsavverkning</t>
        </is>
      </c>
      <c r="D214" s="1" t="n">
        <v>45616</v>
      </c>
      <c r="E214" s="1" t="n">
        <v>46313</v>
      </c>
      <c r="F214" t="inlineStr">
        <is>
          <t>VÄSTRA GÖTALANDS LÄN</t>
        </is>
      </c>
      <c r="G214" t="inlineStr">
        <is>
          <t>ÅMÅL</t>
        </is>
      </c>
      <c r="I214" t="n">
        <v>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11910-2023</t>
        </is>
      </c>
      <c r="B215" t="inlineStr">
        <is>
          <t>avverkningsanmälan</t>
        </is>
      </c>
      <c r="C215" t="inlineStr">
        <is>
          <t>Föryngringsavverkning</t>
        </is>
      </c>
      <c r="D215" s="1" t="n">
        <v>44995</v>
      </c>
      <c r="E215" s="1" t="n">
        <v>46313</v>
      </c>
      <c r="F215" t="inlineStr">
        <is>
          <t>VÄSTRA GÖTALANDS LÄN</t>
        </is>
      </c>
      <c r="G215" t="inlineStr">
        <is>
          <t>ÅMÅL</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34910-2026</t>
        </is>
      </c>
      <c r="B216" t="inlineStr">
        <is>
          <t>avverkningsanmälan</t>
        </is>
      </c>
      <c r="C216" t="inlineStr">
        <is>
          <t>Föryngringsavverkning</t>
        </is>
      </c>
      <c r="D216" s="1" t="n">
        <v>46255</v>
      </c>
      <c r="E216" s="1" t="n">
        <v>46313</v>
      </c>
      <c r="F216" t="inlineStr">
        <is>
          <t>VÄSTRA GÖTALANDS LÄN</t>
        </is>
      </c>
      <c r="G216" t="inlineStr">
        <is>
          <t>ÅMÅL</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40625-2026</t>
        </is>
      </c>
      <c r="B217" t="inlineStr">
        <is>
          <t>avverkningsanmälan</t>
        </is>
      </c>
      <c r="C217" t="inlineStr">
        <is>
          <t>Föryngringsavverkning</t>
        </is>
      </c>
      <c r="D217" s="1" t="n">
        <v>46295</v>
      </c>
      <c r="E217" s="1" t="n">
        <v>46313</v>
      </c>
      <c r="F217" t="inlineStr">
        <is>
          <t>VÄSTRA GÖTALANDS LÄN</t>
        </is>
      </c>
      <c r="G217" t="inlineStr">
        <is>
          <t>ÅMÅL</t>
        </is>
      </c>
      <c r="H217" t="inlineStr">
        <is>
          <t>Kommuner</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40821-2026</t>
        </is>
      </c>
      <c r="B218" t="inlineStr">
        <is>
          <t>avverkningsanmälan</t>
        </is>
      </c>
      <c r="C218" t="inlineStr">
        <is>
          <t>Föryngringsavverkning</t>
        </is>
      </c>
      <c r="D218" s="1" t="n">
        <v>46296</v>
      </c>
      <c r="E218" s="1" t="n">
        <v>46313</v>
      </c>
      <c r="F218" t="inlineStr">
        <is>
          <t>VÄSTRA GÖTALANDS LÄN</t>
        </is>
      </c>
      <c r="G218" t="inlineStr">
        <is>
          <t>ÅMÅL</t>
        </is>
      </c>
      <c r="I218" t="n">
        <v>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40801-2026</t>
        </is>
      </c>
      <c r="B219" t="inlineStr">
        <is>
          <t>avverkningsanmälan</t>
        </is>
      </c>
      <c r="C219" t="inlineStr">
        <is>
          <t>Föryngringsavverkning</t>
        </is>
      </c>
      <c r="D219" s="1" t="n">
        <v>46296</v>
      </c>
      <c r="E219" s="1" t="n">
        <v>46313</v>
      </c>
      <c r="F219" t="inlineStr">
        <is>
          <t>VÄSTRA GÖTALANDS LÄN</t>
        </is>
      </c>
      <c r="G219" t="inlineStr">
        <is>
          <t>ÅMÅL</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40811-2026</t>
        </is>
      </c>
      <c r="B220" t="inlineStr">
        <is>
          <t>avverkningsanmälan</t>
        </is>
      </c>
      <c r="C220" t="inlineStr">
        <is>
          <t>Föryngringsavverkning</t>
        </is>
      </c>
      <c r="D220" s="1" t="n">
        <v>46296</v>
      </c>
      <c r="E220" s="1" t="n">
        <v>46313</v>
      </c>
      <c r="F220" t="inlineStr">
        <is>
          <t>VÄSTRA GÖTALANDS LÄN</t>
        </is>
      </c>
      <c r="G220" t="inlineStr">
        <is>
          <t>ÅMÅL</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3570-2025</t>
        </is>
      </c>
      <c r="B221" t="inlineStr">
        <is>
          <t>avverkningsanmälan</t>
        </is>
      </c>
      <c r="C221" t="inlineStr">
        <is>
          <t>Föryngringsavverkning</t>
        </is>
      </c>
      <c r="D221" s="1" t="n">
        <v>45680</v>
      </c>
      <c r="E221" s="1" t="n">
        <v>46313</v>
      </c>
      <c r="F221" t="inlineStr">
        <is>
          <t>VÄSTRA GÖTALANDS LÄN</t>
        </is>
      </c>
      <c r="G221" t="inlineStr">
        <is>
          <t>ÅMÅL</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46753-2023</t>
        </is>
      </c>
      <c r="B222" t="inlineStr">
        <is>
          <t>avverkningsanmälan</t>
        </is>
      </c>
      <c r="C222" t="inlineStr">
        <is>
          <t>Föryngringsavverkning</t>
        </is>
      </c>
      <c r="D222" s="1" t="n">
        <v>45198</v>
      </c>
      <c r="E222" s="1" t="n">
        <v>46313</v>
      </c>
      <c r="F222" t="inlineStr">
        <is>
          <t>VÄSTRA GÖTALANDS LÄN</t>
        </is>
      </c>
      <c r="G222" t="inlineStr">
        <is>
          <t>ÅMÅL</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48426-2022</t>
        </is>
      </c>
      <c r="B223" t="inlineStr">
        <is>
          <t>avverkningsanmälan</t>
        </is>
      </c>
      <c r="C223" t="inlineStr">
        <is>
          <t>Föryngringsavverkning</t>
        </is>
      </c>
      <c r="D223" s="1" t="n">
        <v>44858</v>
      </c>
      <c r="E223" s="1" t="n">
        <v>46313</v>
      </c>
      <c r="F223" t="inlineStr">
        <is>
          <t>VÄSTRA GÖTALANDS LÄN</t>
        </is>
      </c>
      <c r="G223" t="inlineStr">
        <is>
          <t>ÅMÅL</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21024-2025</t>
        </is>
      </c>
      <c r="B224" t="inlineStr">
        <is>
          <t>avverkningsanmälan</t>
        </is>
      </c>
      <c r="C224" t="inlineStr">
        <is>
          <t>Föryngringsavverkning</t>
        </is>
      </c>
      <c r="D224" s="1" t="n">
        <v>45777</v>
      </c>
      <c r="E224" s="1" t="n">
        <v>46313</v>
      </c>
      <c r="F224" t="inlineStr">
        <is>
          <t>VÄSTRA GÖTALANDS LÄN</t>
        </is>
      </c>
      <c r="G224" t="inlineStr">
        <is>
          <t>ÅMÅL</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21028-2025</t>
        </is>
      </c>
      <c r="B225" t="inlineStr">
        <is>
          <t>avverkningsanmälan</t>
        </is>
      </c>
      <c r="C225" t="inlineStr">
        <is>
          <t>Föryngringsavverkning</t>
        </is>
      </c>
      <c r="D225" s="1" t="n">
        <v>45777</v>
      </c>
      <c r="E225" s="1" t="n">
        <v>46313</v>
      </c>
      <c r="F225" t="inlineStr">
        <is>
          <t>VÄSTRA GÖTALANDS LÄN</t>
        </is>
      </c>
      <c r="G225" t="inlineStr">
        <is>
          <t>ÅMÅL</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21032-2025</t>
        </is>
      </c>
      <c r="B226" t="inlineStr">
        <is>
          <t>avverkningsanmälan</t>
        </is>
      </c>
      <c r="C226" t="inlineStr">
        <is>
          <t>Föryngringsavverkning</t>
        </is>
      </c>
      <c r="D226" s="1" t="n">
        <v>45777</v>
      </c>
      <c r="E226" s="1" t="n">
        <v>46313</v>
      </c>
      <c r="F226" t="inlineStr">
        <is>
          <t>VÄSTRA GÖTALANDS LÄN</t>
        </is>
      </c>
      <c r="G226" t="inlineStr">
        <is>
          <t>ÅMÅL</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40278-2024</t>
        </is>
      </c>
      <c r="B227" t="inlineStr">
        <is>
          <t>avverkningsanmälan</t>
        </is>
      </c>
      <c r="C227" t="inlineStr">
        <is>
          <t>Föryngringsavverkning</t>
        </is>
      </c>
      <c r="D227" s="1" t="n">
        <v>45554</v>
      </c>
      <c r="E227" s="1" t="n">
        <v>46313</v>
      </c>
      <c r="F227" t="inlineStr">
        <is>
          <t>VÄSTRA GÖTALANDS LÄN</t>
        </is>
      </c>
      <c r="G227" t="inlineStr">
        <is>
          <t>ÅMÅL</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10800-2024</t>
        </is>
      </c>
      <c r="B228" t="inlineStr">
        <is>
          <t>avverkningsanmälan</t>
        </is>
      </c>
      <c r="C228" t="inlineStr">
        <is>
          <t>Föryngringsavverkning</t>
        </is>
      </c>
      <c r="D228" s="1" t="n">
        <v>45369</v>
      </c>
      <c r="E228" s="1" t="n">
        <v>46313</v>
      </c>
      <c r="F228" t="inlineStr">
        <is>
          <t>VÄSTRA GÖTALANDS LÄN</t>
        </is>
      </c>
      <c r="G228" t="inlineStr">
        <is>
          <t>ÅMÅL</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23125-2025</t>
        </is>
      </c>
      <c r="B229" t="inlineStr">
        <is>
          <t>avverkningsanmälan</t>
        </is>
      </c>
      <c r="C229" t="inlineStr">
        <is>
          <t>Föryngringsavverkning</t>
        </is>
      </c>
      <c r="D229" s="1" t="n">
        <v>45791</v>
      </c>
      <c r="E229" s="1" t="n">
        <v>46313</v>
      </c>
      <c r="F229" t="inlineStr">
        <is>
          <t>VÄSTRA GÖTALANDS LÄN</t>
        </is>
      </c>
      <c r="G229" t="inlineStr">
        <is>
          <t>ÅMÅL</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42406-2026</t>
        </is>
      </c>
      <c r="B230" t="inlineStr">
        <is>
          <t>avverkningsanmälan</t>
        </is>
      </c>
      <c r="C230" t="inlineStr">
        <is>
          <t>Föryngringsavverkning</t>
        </is>
      </c>
      <c r="D230" s="1" t="n">
        <v>46307</v>
      </c>
      <c r="E230" s="1" t="n">
        <v>46313</v>
      </c>
      <c r="F230" t="inlineStr">
        <is>
          <t>VÄSTRA GÖTALANDS LÄN</t>
        </is>
      </c>
      <c r="G230" t="inlineStr">
        <is>
          <t>ÅMÅL</t>
        </is>
      </c>
      <c r="H230" t="inlineStr">
        <is>
          <t>Kyrkan</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15691-2024</t>
        </is>
      </c>
      <c r="B231" t="inlineStr">
        <is>
          <t>avverkningsanmälan</t>
        </is>
      </c>
      <c r="C231" t="inlineStr">
        <is>
          <t>Föryngringsavverkning</t>
        </is>
      </c>
      <c r="D231" s="1" t="n">
        <v>45404</v>
      </c>
      <c r="E231" s="1" t="n">
        <v>46313</v>
      </c>
      <c r="F231" t="inlineStr">
        <is>
          <t>VÄSTRA GÖTALANDS LÄN</t>
        </is>
      </c>
      <c r="G231" t="inlineStr">
        <is>
          <t>ÅMÅL</t>
        </is>
      </c>
      <c r="I231" t="n">
        <v>8.199999999999999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3571-2025</t>
        </is>
      </c>
      <c r="B232" t="inlineStr">
        <is>
          <t>avverkningsanmälan</t>
        </is>
      </c>
      <c r="C232" t="inlineStr">
        <is>
          <t>Föryngringsavverkning</t>
        </is>
      </c>
      <c r="D232" s="1" t="n">
        <v>45680</v>
      </c>
      <c r="E232" s="1" t="n">
        <v>46313</v>
      </c>
      <c r="F232" t="inlineStr">
        <is>
          <t>VÄSTRA GÖTALANDS LÄN</t>
        </is>
      </c>
      <c r="G232" t="inlineStr">
        <is>
          <t>ÅMÅL</t>
        </is>
      </c>
      <c r="I232" t="n">
        <v>11.2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42539-2026</t>
        </is>
      </c>
      <c r="B233" t="inlineStr">
        <is>
          <t>avverkningsanmälan</t>
        </is>
      </c>
      <c r="C233" t="inlineStr">
        <is>
          <t>Föryngringsavverkning</t>
        </is>
      </c>
      <c r="D233" s="1" t="n">
        <v>46308</v>
      </c>
      <c r="E233" s="1" t="n">
        <v>46313</v>
      </c>
      <c r="F233" t="inlineStr">
        <is>
          <t>VÄSTRA GÖTALANDS LÄN</t>
        </is>
      </c>
      <c r="G233" t="inlineStr">
        <is>
          <t>ÅMÅL</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8092-2025</t>
        </is>
      </c>
      <c r="B234" t="inlineStr">
        <is>
          <t>avverkningsanmälan</t>
        </is>
      </c>
      <c r="C234" t="inlineStr">
        <is>
          <t>Föryngringsavverkning</t>
        </is>
      </c>
      <c r="D234" s="1" t="n">
        <v>45707</v>
      </c>
      <c r="E234" s="1" t="n">
        <v>46313</v>
      </c>
      <c r="F234" t="inlineStr">
        <is>
          <t>VÄSTRA GÖTALANDS LÄN</t>
        </is>
      </c>
      <c r="G234" t="inlineStr">
        <is>
          <t>ÅMÅL</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8089-2025</t>
        </is>
      </c>
      <c r="B235" t="inlineStr">
        <is>
          <t>avverkningsanmälan</t>
        </is>
      </c>
      <c r="C235" t="inlineStr">
        <is>
          <t>Föryngringsavverkning</t>
        </is>
      </c>
      <c r="D235" s="1" t="n">
        <v>45707</v>
      </c>
      <c r="E235" s="1" t="n">
        <v>46313</v>
      </c>
      <c r="F235" t="inlineStr">
        <is>
          <t>VÄSTRA GÖTALANDS LÄN</t>
        </is>
      </c>
      <c r="G235" t="inlineStr">
        <is>
          <t>ÅMÅL</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47026-2024</t>
        </is>
      </c>
      <c r="B236" t="inlineStr">
        <is>
          <t>avverkningsanmälan</t>
        </is>
      </c>
      <c r="C236" t="inlineStr">
        <is>
          <t>Föryngringsavverkning</t>
        </is>
      </c>
      <c r="D236" s="1" t="n">
        <v>45586</v>
      </c>
      <c r="E236" s="1" t="n">
        <v>46313</v>
      </c>
      <c r="F236" t="inlineStr">
        <is>
          <t>VÄSTRA GÖTALANDS LÄN</t>
        </is>
      </c>
      <c r="G236" t="inlineStr">
        <is>
          <t>ÅMÅL</t>
        </is>
      </c>
      <c r="I236" t="n">
        <v>4.4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26911-2025</t>
        </is>
      </c>
      <c r="B237" t="inlineStr">
        <is>
          <t>avverkningsanmälan</t>
        </is>
      </c>
      <c r="C237" t="inlineStr">
        <is>
          <t>Föryngringsavverkning</t>
        </is>
      </c>
      <c r="D237" s="1" t="n">
        <v>45811</v>
      </c>
      <c r="E237" s="1" t="n">
        <v>46313</v>
      </c>
      <c r="F237" t="inlineStr">
        <is>
          <t>VÄSTRA GÖTALANDS LÄN</t>
        </is>
      </c>
      <c r="G237" t="inlineStr">
        <is>
          <t>ÅMÅL</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26912-2025</t>
        </is>
      </c>
      <c r="B238" t="inlineStr">
        <is>
          <t>avverkningsanmälan</t>
        </is>
      </c>
      <c r="C238" t="inlineStr">
        <is>
          <t>Föryngringsavverkning</t>
        </is>
      </c>
      <c r="D238" s="1" t="n">
        <v>45811</v>
      </c>
      <c r="E238" s="1" t="n">
        <v>46313</v>
      </c>
      <c r="F238" t="inlineStr">
        <is>
          <t>VÄSTRA GÖTALANDS LÄN</t>
        </is>
      </c>
      <c r="G238" t="inlineStr">
        <is>
          <t>ÅMÅL</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26914-2025</t>
        </is>
      </c>
      <c r="B239" t="inlineStr">
        <is>
          <t>avverkningsanmälan</t>
        </is>
      </c>
      <c r="C239" t="inlineStr">
        <is>
          <t>Föryngringsavverkning</t>
        </is>
      </c>
      <c r="D239" s="1" t="n">
        <v>45811</v>
      </c>
      <c r="E239" s="1" t="n">
        <v>46313</v>
      </c>
      <c r="F239" t="inlineStr">
        <is>
          <t>VÄSTRA GÖTALANDS LÄN</t>
        </is>
      </c>
      <c r="G239" t="inlineStr">
        <is>
          <t>ÅMÅL</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23186-2024</t>
        </is>
      </c>
      <c r="B240" t="inlineStr">
        <is>
          <t>avverkningsanmälan</t>
        </is>
      </c>
      <c r="C240" t="inlineStr">
        <is>
          <t>Föryngringsavverkning</t>
        </is>
      </c>
      <c r="D240" s="1" t="n">
        <v>45450</v>
      </c>
      <c r="E240" s="1" t="n">
        <v>46313</v>
      </c>
      <c r="F240" t="inlineStr">
        <is>
          <t>VÄSTRA GÖTALANDS LÄN</t>
        </is>
      </c>
      <c r="G240" t="inlineStr">
        <is>
          <t>ÅMÅL</t>
        </is>
      </c>
      <c r="I240" t="n">
        <v>4.7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43176-2026</t>
        </is>
      </c>
      <c r="B241" t="inlineStr">
        <is>
          <t>avverkningsanmälan</t>
        </is>
      </c>
      <c r="C241" t="inlineStr">
        <is>
          <t>Föryngringsavverkning</t>
        </is>
      </c>
      <c r="D241" s="1" t="n">
        <v>46311</v>
      </c>
      <c r="E241" s="1" t="n">
        <v>46313</v>
      </c>
      <c r="F241" t="inlineStr">
        <is>
          <t>VÄSTRA GÖTALANDS LÄN</t>
        </is>
      </c>
      <c r="G241" t="inlineStr">
        <is>
          <t>ÅMÅL</t>
        </is>
      </c>
      <c r="H241" t="inlineStr">
        <is>
          <t>Kyrkan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42830-2026</t>
        </is>
      </c>
      <c r="B242" t="inlineStr">
        <is>
          <t>avverkningsanmälan</t>
        </is>
      </c>
      <c r="C242" t="inlineStr">
        <is>
          <t>Föryngringsavverkning</t>
        </is>
      </c>
      <c r="D242" s="1" t="n">
        <v>46310</v>
      </c>
      <c r="E242" s="1" t="n">
        <v>46313</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28647-2025</t>
        </is>
      </c>
      <c r="B243" t="inlineStr">
        <is>
          <t>avverkningsanmälan</t>
        </is>
      </c>
      <c r="C243" t="inlineStr">
        <is>
          <t>Avverkning för annat ändamål</t>
        </is>
      </c>
      <c r="D243" s="1" t="n">
        <v>45819</v>
      </c>
      <c r="E243" s="1" t="n">
        <v>46313</v>
      </c>
      <c r="F243" t="inlineStr">
        <is>
          <t>VÄSTRA GÖTALANDS LÄN</t>
        </is>
      </c>
      <c r="G243" t="inlineStr">
        <is>
          <t>ÅMÅL</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28786-2025</t>
        </is>
      </c>
      <c r="B244" t="inlineStr">
        <is>
          <t>avverkningsanmälan</t>
        </is>
      </c>
      <c r="C244" t="inlineStr">
        <is>
          <t>Avverkning för annat ändamål</t>
        </is>
      </c>
      <c r="D244" s="1" t="n">
        <v>45820</v>
      </c>
      <c r="E244" s="1" t="n">
        <v>46313</v>
      </c>
      <c r="F244" t="inlineStr">
        <is>
          <t>VÄSTRA GÖTALANDS LÄN</t>
        </is>
      </c>
      <c r="G244" t="inlineStr">
        <is>
          <t>ÅMÅL</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30054-2025</t>
        </is>
      </c>
      <c r="B245" t="inlineStr">
        <is>
          <t>avverkningsanmälan</t>
        </is>
      </c>
      <c r="C245" t="inlineStr">
        <is>
          <t>Föryngringsavverkning</t>
        </is>
      </c>
      <c r="D245" s="1" t="n">
        <v>45826</v>
      </c>
      <c r="E245" s="1" t="n">
        <v>46313</v>
      </c>
      <c r="F245" t="inlineStr">
        <is>
          <t>VÄSTRA GÖTALANDS LÄN</t>
        </is>
      </c>
      <c r="G245" t="inlineStr">
        <is>
          <t>ÅMÅL</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36179-2026</t>
        </is>
      </c>
      <c r="B246" t="inlineStr">
        <is>
          <t>avverkningsanmälan</t>
        </is>
      </c>
      <c r="C246" t="inlineStr">
        <is>
          <t>Föryngringsavverkning</t>
        </is>
      </c>
      <c r="D246" s="1" t="n">
        <v>46267</v>
      </c>
      <c r="E246" s="1" t="n">
        <v>46313</v>
      </c>
      <c r="F246" t="inlineStr">
        <is>
          <t>VÄSTRA GÖTALANDS LÄN</t>
        </is>
      </c>
      <c r="G246" t="inlineStr">
        <is>
          <t>ÅMÅL</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43175-2026</t>
        </is>
      </c>
      <c r="B247" t="inlineStr">
        <is>
          <t>avverkningsanmälan</t>
        </is>
      </c>
      <c r="C247" t="inlineStr">
        <is>
          <t>Föryngringsavverkning</t>
        </is>
      </c>
      <c r="D247" s="1" t="n">
        <v>46311</v>
      </c>
      <c r="E247" s="1" t="n">
        <v>46313</v>
      </c>
      <c r="F247" t="inlineStr">
        <is>
          <t>VÄSTRA GÖTALANDS LÄN</t>
        </is>
      </c>
      <c r="G247" t="inlineStr">
        <is>
          <t>ÅMÅL</t>
        </is>
      </c>
      <c r="H247" t="inlineStr">
        <is>
          <t>Kyrkan</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24424-2023</t>
        </is>
      </c>
      <c r="B248" t="inlineStr">
        <is>
          <t>avverkningsanmälan</t>
        </is>
      </c>
      <c r="C248" t="inlineStr">
        <is>
          <t>Föryngringsavverkning</t>
        </is>
      </c>
      <c r="D248" s="1" t="n">
        <v>45082</v>
      </c>
      <c r="E248" s="1" t="n">
        <v>46313</v>
      </c>
      <c r="F248" t="inlineStr">
        <is>
          <t>VÄSTRA GÖTALANDS LÄN</t>
        </is>
      </c>
      <c r="G248" t="inlineStr">
        <is>
          <t>ÅMÅL</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62705-2023</t>
        </is>
      </c>
      <c r="B249" t="inlineStr">
        <is>
          <t>avverkningsanmälan</t>
        </is>
      </c>
      <c r="C249" t="inlineStr">
        <is>
          <t>Föryngringsavverkning</t>
        </is>
      </c>
      <c r="D249" s="1" t="n">
        <v>45271</v>
      </c>
      <c r="E249" s="1" t="n">
        <v>46313</v>
      </c>
      <c r="F249" t="inlineStr">
        <is>
          <t>VÄSTRA GÖTALANDS LÄN</t>
        </is>
      </c>
      <c r="G249" t="inlineStr">
        <is>
          <t>ÅMÅL</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21425-2025</t>
        </is>
      </c>
      <c r="B250" t="inlineStr">
        <is>
          <t>avverkningsanmälan</t>
        </is>
      </c>
      <c r="C250" t="inlineStr">
        <is>
          <t>Föryngringsavverkning</t>
        </is>
      </c>
      <c r="D250" s="1" t="n">
        <v>45782</v>
      </c>
      <c r="E250" s="1" t="n">
        <v>46313</v>
      </c>
      <c r="F250" t="inlineStr">
        <is>
          <t>VÄSTRA GÖTALANDS LÄN</t>
        </is>
      </c>
      <c r="G250" t="inlineStr">
        <is>
          <t>ÅMÅL</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S 599-2024</t>
        </is>
      </c>
      <c r="B251" t="inlineStr">
        <is>
          <t>samrådsanmälan</t>
        </is>
      </c>
      <c r="C251" t="inlineStr">
        <is>
          <t>Askåterföring</t>
        </is>
      </c>
      <c r="D251" s="1" t="n">
        <v>45351</v>
      </c>
      <c r="E251" s="1" t="n">
        <v>46313</v>
      </c>
      <c r="F251" t="inlineStr">
        <is>
          <t>VÄSTRA GÖTALANDS LÄN</t>
        </is>
      </c>
      <c r="G251" t="inlineStr">
        <is>
          <t>ÅMÅL</t>
        </is>
      </c>
      <c r="H251" t="inlineStr">
        <is>
          <t>Bergvik skog väst AB</t>
        </is>
      </c>
      <c r="I251" t="n">
        <v>36.3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S 2641-2022</t>
        </is>
      </c>
      <c r="B252" t="inlineStr">
        <is>
          <t>samrådsanmälan</t>
        </is>
      </c>
      <c r="C252" t="inlineStr">
        <is>
          <t>Annan skogsbruksåtgärd</t>
        </is>
      </c>
      <c r="D252" s="1" t="n">
        <v>44700</v>
      </c>
      <c r="E252" s="1" t="n">
        <v>46313</v>
      </c>
      <c r="F252" t="inlineStr">
        <is>
          <t>VÄSTRA GÖTALANDS LÄN</t>
        </is>
      </c>
      <c r="G252" t="inlineStr">
        <is>
          <t>ÅMÅL</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S 1781-2025</t>
        </is>
      </c>
      <c r="B253" t="inlineStr">
        <is>
          <t>samrådsanmälan</t>
        </is>
      </c>
      <c r="C253" t="inlineStr">
        <is>
          <t>Annan skogsbruksåtgärd</t>
        </is>
      </c>
      <c r="D253" s="1" t="n">
        <v>45813</v>
      </c>
      <c r="E253" s="1" t="n">
        <v>46313</v>
      </c>
      <c r="F253" t="inlineStr">
        <is>
          <t>VÄSTRA GÖTALANDS LÄN</t>
        </is>
      </c>
      <c r="G253" t="inlineStr">
        <is>
          <t>ÅMÅL</t>
        </is>
      </c>
      <c r="I253" t="n">
        <v>2.8</v>
      </c>
      <c r="J253" t="n">
        <v>0</v>
      </c>
      <c r="K253" t="n">
        <v>0</v>
      </c>
      <c r="L253" t="n">
        <v>0</v>
      </c>
      <c r="M253" t="n">
        <v>0</v>
      </c>
      <c r="N253" t="n">
        <v>0</v>
      </c>
      <c r="O253" t="n">
        <v>0</v>
      </c>
      <c r="P253" t="n">
        <v>0</v>
      </c>
      <c r="Q253" t="n">
        <v>0</v>
      </c>
      <c r="R253" t="n">
        <v>0</v>
      </c>
      <c r="S253" t="n">
        <v>0</v>
      </c>
      <c r="T253" t="n">
        <v>0</v>
      </c>
      <c r="U253" t="n">
        <v>0</v>
      </c>
      <c r="V253" s="2" t="inlineStr"/>
    </row>
    <row r="254">
      <c r="A254" t="inlineStr">
        <is>
          <t>S 1773-2026</t>
        </is>
      </c>
      <c r="B254" t="inlineStr">
        <is>
          <t>samrådsanmälan</t>
        </is>
      </c>
      <c r="C254" t="inlineStr">
        <is>
          <t>Askåterföring</t>
        </is>
      </c>
      <c r="D254" s="1" t="n">
        <v>46191</v>
      </c>
      <c r="E254" s="1" t="n">
        <v>46313</v>
      </c>
      <c r="F254" t="inlineStr">
        <is>
          <t>VÄSTRA GÖTALANDS LÄN</t>
        </is>
      </c>
      <c r="G254" t="inlineStr">
        <is>
          <t>ÅMÅL</t>
        </is>
      </c>
      <c r="H254" t="inlineStr">
        <is>
          <t>Bergvik skog väst AB</t>
        </is>
      </c>
      <c r="I254" t="n">
        <v>22.3</v>
      </c>
      <c r="J254" t="n">
        <v>0</v>
      </c>
      <c r="K254" t="n">
        <v>0</v>
      </c>
      <c r="L254" t="n">
        <v>0</v>
      </c>
      <c r="M254" t="n">
        <v>0</v>
      </c>
      <c r="N254" t="n">
        <v>0</v>
      </c>
      <c r="O254" t="n">
        <v>0</v>
      </c>
      <c r="P254" t="n">
        <v>0</v>
      </c>
      <c r="Q254" t="n">
        <v>0</v>
      </c>
      <c r="R254" t="n">
        <v>0</v>
      </c>
      <c r="S254" t="n">
        <v>0</v>
      </c>
      <c r="T254" t="n">
        <v>0</v>
      </c>
      <c r="U254" t="n">
        <v>0</v>
      </c>
      <c r="V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2026-10-18T08:03:41Z</dcterms:created>
  <dcterms:modified xmlns:dcterms="http://purl.org/dc/terms/" xmlns:xsi="http://www.w3.org/2001/XMLSchema-instance" xsi:type="dcterms:W3CDTF">2026-10-18T08:03:42Z</dcterms:modified>
</cp:coreProperties>
</file>