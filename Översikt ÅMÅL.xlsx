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45712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45712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45712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45712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45712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45712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45712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45712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45712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45712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45712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45712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45712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45712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45712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45712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58632-2024</t>
        </is>
      </c>
      <c r="B18" s="1" t="n">
        <v>45635</v>
      </c>
      <c r="C18" s="1" t="n">
        <v>45712</v>
      </c>
      <c r="D18" t="inlineStr">
        <is>
          <t>VÄSTRA GÖTALANDS LÄN</t>
        </is>
      </c>
      <c r="E18" t="inlineStr">
        <is>
          <t>ÅMÅL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HYPERLINK("https://klasma.github.io/Logging_1492/artfynd/A 58632-2024 artfynd.xlsx", "A 58632-2024")</f>
        <v/>
      </c>
      <c r="T18">
        <f>HYPERLINK("https://klasma.github.io/Logging_1492/kartor/A 58632-2024 karta.png", "A 58632-2024")</f>
        <v/>
      </c>
      <c r="V18">
        <f>HYPERLINK("https://klasma.github.io/Logging_1492/klagomål/A 58632-2024 FSC-klagomål.docx", "A 58632-2024")</f>
        <v/>
      </c>
      <c r="W18">
        <f>HYPERLINK("https://klasma.github.io/Logging_1492/klagomålsmail/A 58632-2024 FSC-klagomål mail.docx", "A 58632-2024")</f>
        <v/>
      </c>
      <c r="X18">
        <f>HYPERLINK("https://klasma.github.io/Logging_1492/tillsyn/A 58632-2024 tillsynsbegäran.docx", "A 58632-2024")</f>
        <v/>
      </c>
      <c r="Y18">
        <f>HYPERLINK("https://klasma.github.io/Logging_1492/tillsynsmail/A 58632-2024 tillsynsbegäran mail.docx", "A 58632-2024")</f>
        <v/>
      </c>
    </row>
    <row r="19" ht="15" customHeight="1">
      <c r="A19" t="inlineStr">
        <is>
          <t>A 17958-2019</t>
        </is>
      </c>
      <c r="B19" s="1" t="n">
        <v>43556</v>
      </c>
      <c r="C19" s="1" t="n">
        <v>45712</v>
      </c>
      <c r="D19" t="inlineStr">
        <is>
          <t>VÄSTRA GÖTALANDS LÄN</t>
        </is>
      </c>
      <c r="E19" t="inlineStr">
        <is>
          <t>ÅMÅL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18387-2019</t>
        </is>
      </c>
      <c r="B20" s="1" t="n">
        <v>43557</v>
      </c>
      <c r="C20" s="1" t="n">
        <v>45712</v>
      </c>
      <c r="D20" t="inlineStr">
        <is>
          <t>VÄSTRA GÖTALANDS LÄN</t>
        </is>
      </c>
      <c r="E20" t="inlineStr">
        <is>
          <t>ÅMÅL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19031-2019</t>
        </is>
      </c>
      <c r="B21" s="1" t="n">
        <v>43563</v>
      </c>
      <c r="C21" s="1" t="n">
        <v>45712</v>
      </c>
      <c r="D21" t="inlineStr">
        <is>
          <t>VÄSTRA GÖTALANDS LÄN</t>
        </is>
      </c>
      <c r="E21" t="inlineStr">
        <is>
          <t>ÅMÅL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21194-2019</t>
        </is>
      </c>
      <c r="B22" s="1" t="n">
        <v>43579</v>
      </c>
      <c r="C22" s="1" t="n">
        <v>45712</v>
      </c>
      <c r="D22" t="inlineStr">
        <is>
          <t>VÄSTRA GÖTALANDS LÄN</t>
        </is>
      </c>
      <c r="E22" t="inlineStr">
        <is>
          <t>ÅMÅL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21910-2019</t>
        </is>
      </c>
      <c r="B23" s="1" t="n">
        <v>43584</v>
      </c>
      <c r="C23" s="1" t="n">
        <v>45712</v>
      </c>
      <c r="D23" t="inlineStr">
        <is>
          <t>VÄSTRA GÖTALANDS LÄN</t>
        </is>
      </c>
      <c r="E23" t="inlineStr">
        <is>
          <t>ÅMÅL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24464-2019</t>
        </is>
      </c>
      <c r="B24" s="1" t="n">
        <v>43600</v>
      </c>
      <c r="C24" s="1" t="n">
        <v>45712</v>
      </c>
      <c r="D24" t="inlineStr">
        <is>
          <t>VÄSTRA GÖTALANDS LÄN</t>
        </is>
      </c>
      <c r="E24" t="inlineStr">
        <is>
          <t>ÅMÅL</t>
        </is>
      </c>
      <c r="G24" t="n">
        <v>18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27291-2019</t>
        </is>
      </c>
      <c r="B25" s="1" t="n">
        <v>43616</v>
      </c>
      <c r="C25" s="1" t="n">
        <v>45712</v>
      </c>
      <c r="D25" t="inlineStr">
        <is>
          <t>VÄSTRA GÖTALANDS LÄN</t>
        </is>
      </c>
      <c r="E25" t="inlineStr">
        <is>
          <t>ÅMÅL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28187-2019</t>
        </is>
      </c>
      <c r="B26" s="1" t="n">
        <v>43621</v>
      </c>
      <c r="C26" s="1" t="n">
        <v>45712</v>
      </c>
      <c r="D26" t="inlineStr">
        <is>
          <t>VÄSTRA GÖTALANDS LÄN</t>
        </is>
      </c>
      <c r="E26" t="inlineStr">
        <is>
          <t>ÅMÅL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30406-2019</t>
        </is>
      </c>
      <c r="B27" s="1" t="n">
        <v>43633</v>
      </c>
      <c r="C27" s="1" t="n">
        <v>45712</v>
      </c>
      <c r="D27" t="inlineStr">
        <is>
          <t>VÄSTRA GÖTALANDS LÄN</t>
        </is>
      </c>
      <c r="E27" t="inlineStr">
        <is>
          <t>ÅMÅL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30444-2019</t>
        </is>
      </c>
      <c r="B28" s="1" t="n">
        <v>43635</v>
      </c>
      <c r="C28" s="1" t="n">
        <v>45712</v>
      </c>
      <c r="D28" t="inlineStr">
        <is>
          <t>VÄSTRA GÖTALANDS LÄN</t>
        </is>
      </c>
      <c r="E28" t="inlineStr">
        <is>
          <t>ÅMÅL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45712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45712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45712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45712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45712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45712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45712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45712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45712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45712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45712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45712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45712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45712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45712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45712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45712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45712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45712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45712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45712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45712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45712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45712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45712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45712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45712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45712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45712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45712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45712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45712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45712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45712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45712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45712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45712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45712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45712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45712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45712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45712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45712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45712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45712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45712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45712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45712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45712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45712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45712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45712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45712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45712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45712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45712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45712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45712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45712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45712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45712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45712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45712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45712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45712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45712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45712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45712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45712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45712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45712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45712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45712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45712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45712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45712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45712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45712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45712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45712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45712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45712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45712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45712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45712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45712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45712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45712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45712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45712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45712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45712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45712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45712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45712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45712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45712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45712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45712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45712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45712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45712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45712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45712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45712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45712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45712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45712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45712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45712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45712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45712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45712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45712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45712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45712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45712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45712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45712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45712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45712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45712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45712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45712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45712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45712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45712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45712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45712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45712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45712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45712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45712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45712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45712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45712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45712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45712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45712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45712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45712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45712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45712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45712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45712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45712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45712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45712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45712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45712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45712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45712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45712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45712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45712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45712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45712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45712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45712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45712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45712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45712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45712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45712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45712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45712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45712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45712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45712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45712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45712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45712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45712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45712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45712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45712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45712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45712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45712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45712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45712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45712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45712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45712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45712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45712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45712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45712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45712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45712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45712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45712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45712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45712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45712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45712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45712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45712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45712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45712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45712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45712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45712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45712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45712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45712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45712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45712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45712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45712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45712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45712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45712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45712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45712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45712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45712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45712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45712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45712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45712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45712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45712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45712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45712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45712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45712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45712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45712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45712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45712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45712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45712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45712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45712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45712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45712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45712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45712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45712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45712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45712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45712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45712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45712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45712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45712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45712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45712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45712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45712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45712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45712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45712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45712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45712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45712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45712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45712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45712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45712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45712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45712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45712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45712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45712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45712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45712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45712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45712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45712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45712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45712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45712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45712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45712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45712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45712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45712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45712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45712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45712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45712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45712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45712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45712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45712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45712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45712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45712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45712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45712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45712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45712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45712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45712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45712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45712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45712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45712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45712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45712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45712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45712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45712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45712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45712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45712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45712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45712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45712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45712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45712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45712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45712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45712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45712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45712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45712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45712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45712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45712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45712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45712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45712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45712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45712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45712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45712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45712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45712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45712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45712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45712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45712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45712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45712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45712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45712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45712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45712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45712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45712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45712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45712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45712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45712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45712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45712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45712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45712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45712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45712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45712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45712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45712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45712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45712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45712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45712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45712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45712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45712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45712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45712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45712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45712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45712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45712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45712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45712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45712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45712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45712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45712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45712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45712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45712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45712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45712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45712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45712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45712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45712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45712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45712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45712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45712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45712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45712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45712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45712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45712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45712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45712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45712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45712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45712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45712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45712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45712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45712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45712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45712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45712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45712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45712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45712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45712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45712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45712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45712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45712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45712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45712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45712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45712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45712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45712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45712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45712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45712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45712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45712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45712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45712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45712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45712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45712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45712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45712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45712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57298-2024</t>
        </is>
      </c>
      <c r="B461" s="1" t="n">
        <v>45629</v>
      </c>
      <c r="C461" s="1" t="n">
        <v>45712</v>
      </c>
      <c r="D461" t="inlineStr">
        <is>
          <t>VÄSTRA GÖTALANDS LÄN</t>
        </is>
      </c>
      <c r="E461" t="inlineStr">
        <is>
          <t>ÅMÅL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57296-2024</t>
        </is>
      </c>
      <c r="B462" s="1" t="n">
        <v>45629</v>
      </c>
      <c r="C462" s="1" t="n">
        <v>45712</v>
      </c>
      <c r="D462" t="inlineStr">
        <is>
          <t>VÄSTRA GÖTALANDS LÄN</t>
        </is>
      </c>
      <c r="E462" t="inlineStr">
        <is>
          <t>ÅMÅL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57305-2024</t>
        </is>
      </c>
      <c r="B463" s="1" t="n">
        <v>45629</v>
      </c>
      <c r="C463" s="1" t="n">
        <v>45712</v>
      </c>
      <c r="D463" t="inlineStr">
        <is>
          <t>VÄSTRA GÖTALANDS LÄN</t>
        </is>
      </c>
      <c r="E463" t="inlineStr">
        <is>
          <t>ÅMÅL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45712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45712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59998-2024</t>
        </is>
      </c>
      <c r="B466" s="1" t="n">
        <v>45642</v>
      </c>
      <c r="C466" s="1" t="n">
        <v>45712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60972-2024</t>
        </is>
      </c>
      <c r="B467" s="1" t="n">
        <v>45645</v>
      </c>
      <c r="C467" s="1" t="n">
        <v>45712</v>
      </c>
      <c r="D467" t="inlineStr">
        <is>
          <t>VÄSTRA GÖTALANDS LÄN</t>
        </is>
      </c>
      <c r="E467" t="inlineStr">
        <is>
          <t>ÅMÅL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61115-2024</t>
        </is>
      </c>
      <c r="B468" s="1" t="n">
        <v>45645</v>
      </c>
      <c r="C468" s="1" t="n">
        <v>45712</v>
      </c>
      <c r="D468" t="inlineStr">
        <is>
          <t>VÄSTRA GÖTALANDS LÄN</t>
        </is>
      </c>
      <c r="E468" t="inlineStr">
        <is>
          <t>ÅMÅL</t>
        </is>
      </c>
      <c r="F468" t="inlineStr">
        <is>
          <t>Kyrkan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333-2025</t>
        </is>
      </c>
      <c r="B469" s="1" t="n">
        <v>45659</v>
      </c>
      <c r="C469" s="1" t="n">
        <v>45712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Bergvik skog väst AB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349-2025</t>
        </is>
      </c>
      <c r="B470" s="1" t="n">
        <v>45659</v>
      </c>
      <c r="C470" s="1" t="n">
        <v>45712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24.6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336-2025</t>
        </is>
      </c>
      <c r="B471" s="1" t="n">
        <v>45660</v>
      </c>
      <c r="C471" s="1" t="n">
        <v>45712</v>
      </c>
      <c r="D471" t="inlineStr">
        <is>
          <t>VÄSTRA GÖTALANDS LÄN</t>
        </is>
      </c>
      <c r="E471" t="inlineStr">
        <is>
          <t>ÅMÅL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335-2025</t>
        </is>
      </c>
      <c r="B472" s="1" t="n">
        <v>45660</v>
      </c>
      <c r="C472" s="1" t="n">
        <v>45712</v>
      </c>
      <c r="D472" t="inlineStr">
        <is>
          <t>VÄSTRA GÖTALANDS LÄN</t>
        </is>
      </c>
      <c r="E472" t="inlineStr">
        <is>
          <t>ÅMÅL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1472-2025</t>
        </is>
      </c>
      <c r="B473" s="1" t="n">
        <v>45670</v>
      </c>
      <c r="C473" s="1" t="n">
        <v>45712</v>
      </c>
      <c r="D473" t="inlineStr">
        <is>
          <t>VÄSTRA GÖTALANDS LÄN</t>
        </is>
      </c>
      <c r="E473" t="inlineStr">
        <is>
          <t>ÅMÅL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1968-2025</t>
        </is>
      </c>
      <c r="B474" s="1" t="n">
        <v>45671</v>
      </c>
      <c r="C474" s="1" t="n">
        <v>45712</v>
      </c>
      <c r="D474" t="inlineStr">
        <is>
          <t>VÄSTRA GÖTALANDS LÄN</t>
        </is>
      </c>
      <c r="E474" t="inlineStr">
        <is>
          <t>ÅMÅL</t>
        </is>
      </c>
      <c r="F474" t="inlineStr">
        <is>
          <t>Bergvik skog väst AB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1954-2025</t>
        </is>
      </c>
      <c r="B475" s="1" t="n">
        <v>45671</v>
      </c>
      <c r="C475" s="1" t="n">
        <v>45712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2457-2025</t>
        </is>
      </c>
      <c r="B476" s="1" t="n">
        <v>45674</v>
      </c>
      <c r="C476" s="1" t="n">
        <v>45712</v>
      </c>
      <c r="D476" t="inlineStr">
        <is>
          <t>VÄSTRA GÖTALANDS LÄN</t>
        </is>
      </c>
      <c r="E476" t="inlineStr">
        <is>
          <t>ÅMÅL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2440-2025</t>
        </is>
      </c>
      <c r="B477" s="1" t="n">
        <v>45674</v>
      </c>
      <c r="C477" s="1" t="n">
        <v>45712</v>
      </c>
      <c r="D477" t="inlineStr">
        <is>
          <t>VÄSTRA GÖTALANDS LÄN</t>
        </is>
      </c>
      <c r="E477" t="inlineStr">
        <is>
          <t>ÅMÅL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2455-2025</t>
        </is>
      </c>
      <c r="B478" s="1" t="n">
        <v>45674</v>
      </c>
      <c r="C478" s="1" t="n">
        <v>45712</v>
      </c>
      <c r="D478" t="inlineStr">
        <is>
          <t>VÄSTRA GÖTALANDS LÄN</t>
        </is>
      </c>
      <c r="E478" t="inlineStr">
        <is>
          <t>ÅMÅL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3570-2025</t>
        </is>
      </c>
      <c r="B479" s="1" t="n">
        <v>45680</v>
      </c>
      <c r="C479" s="1" t="n">
        <v>45712</v>
      </c>
      <c r="D479" t="inlineStr">
        <is>
          <t>VÄSTRA GÖTALANDS LÄN</t>
        </is>
      </c>
      <c r="E479" t="inlineStr">
        <is>
          <t>ÅMÅL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3571-2025</t>
        </is>
      </c>
      <c r="B480" s="1" t="n">
        <v>45680</v>
      </c>
      <c r="C480" s="1" t="n">
        <v>45712</v>
      </c>
      <c r="D480" t="inlineStr">
        <is>
          <t>VÄSTRA GÖTALANDS LÄN</t>
        </is>
      </c>
      <c r="E480" t="inlineStr">
        <is>
          <t>ÅMÅL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5545-2025</t>
        </is>
      </c>
      <c r="B481" s="1" t="n">
        <v>45693</v>
      </c>
      <c r="C481" s="1" t="n">
        <v>45712</v>
      </c>
      <c r="D481" t="inlineStr">
        <is>
          <t>VÄSTRA GÖTALANDS LÄN</t>
        </is>
      </c>
      <c r="E481" t="inlineStr">
        <is>
          <t>ÅMÅL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5623-2025</t>
        </is>
      </c>
      <c r="B482" s="1" t="n">
        <v>45693</v>
      </c>
      <c r="C482" s="1" t="n">
        <v>45712</v>
      </c>
      <c r="D482" t="inlineStr">
        <is>
          <t>VÄSTRA GÖTALANDS LÄN</t>
        </is>
      </c>
      <c r="E482" t="inlineStr">
        <is>
          <t>ÅMÅL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7146-2025</t>
        </is>
      </c>
      <c r="B483" s="1" t="n">
        <v>45702</v>
      </c>
      <c r="C483" s="1" t="n">
        <v>45712</v>
      </c>
      <c r="D483" t="inlineStr">
        <is>
          <t>VÄSTRA GÖTALANDS LÄN</t>
        </is>
      </c>
      <c r="E483" t="inlineStr">
        <is>
          <t>ÅMÅL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7764-2025</t>
        </is>
      </c>
      <c r="B484" s="1" t="n">
        <v>45706</v>
      </c>
      <c r="C484" s="1" t="n">
        <v>45712</v>
      </c>
      <c r="D484" t="inlineStr">
        <is>
          <t>VÄSTRA GÖTALANDS LÄN</t>
        </is>
      </c>
      <c r="E484" t="inlineStr">
        <is>
          <t>ÅMÅL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8092-2025</t>
        </is>
      </c>
      <c r="B485" s="1" t="n">
        <v>45707</v>
      </c>
      <c r="C485" s="1" t="n">
        <v>45712</v>
      </c>
      <c r="D485" t="inlineStr">
        <is>
          <t>VÄSTRA GÖTALANDS LÄN</t>
        </is>
      </c>
      <c r="E485" t="inlineStr">
        <is>
          <t>ÅMÅL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8089-2025</t>
        </is>
      </c>
      <c r="B486" s="1" t="n">
        <v>45707</v>
      </c>
      <c r="C486" s="1" t="n">
        <v>45712</v>
      </c>
      <c r="D486" t="inlineStr">
        <is>
          <t>VÄSTRA GÖTALANDS LÄN</t>
        </is>
      </c>
      <c r="E486" t="inlineStr">
        <is>
          <t>ÅMÅL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8086-2025</t>
        </is>
      </c>
      <c r="B487" s="1" t="n">
        <v>45707</v>
      </c>
      <c r="C487" s="1" t="n">
        <v>45712</v>
      </c>
      <c r="D487" t="inlineStr">
        <is>
          <t>VÄSTRA GÖTALANDS LÄN</t>
        </is>
      </c>
      <c r="E487" t="inlineStr">
        <is>
          <t>ÅMÅL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8470-2025</t>
        </is>
      </c>
      <c r="B488" s="1" t="n">
        <v>45709</v>
      </c>
      <c r="C488" s="1" t="n">
        <v>45712</v>
      </c>
      <c r="D488" t="inlineStr">
        <is>
          <t>VÄSTRA GÖTALANDS LÄN</t>
        </is>
      </c>
      <c r="E488" t="inlineStr">
        <is>
          <t>ÅMÅL</t>
        </is>
      </c>
      <c r="F488" t="inlineStr">
        <is>
          <t>Bergvik skog väst AB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2025-02-24T17:03:31Z</dcterms:created>
  <dcterms:modified xmlns:dcterms="http://purl.org/dc/terms/" xmlns:xsi="http://www.w3.org/2001/XMLSchema-instance" xsi:type="dcterms:W3CDTF">2025-02-24T17:03:32Z</dcterms:modified>
</cp:coreProperties>
</file>