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17389-2024</t>
        </is>
      </c>
      <c r="B2" t="inlineStr">
        <is>
          <t>avverkningsanmälan</t>
        </is>
      </c>
      <c r="C2" t="inlineStr">
        <is>
          <t>Föryngringsavverkning</t>
        </is>
      </c>
      <c r="D2" s="1" t="n">
        <v>45414</v>
      </c>
      <c r="E2" s="1" t="n">
        <v>46223</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X2">
        <f>HYPERLINK("https://klasma.github.io/Logging_1492/kartor_geotiff/A 17389-2024 georefererad karta.tif", "A 17389-2024")</f>
        <v/>
      </c>
      <c r="Z2">
        <f>HYPERLINK("https://klasma.github.io/Logging_1492/klagomål/A 17389-2024 FSC-klagomål.docx", "A 17389-2024")</f>
        <v/>
      </c>
      <c r="AA2">
        <f>HYPERLINK("https://klasma.github.io/Logging_1492/klagomålsmail/A 17389-2024 FSC-klagomål mail.docx", "A 17389-2024")</f>
        <v/>
      </c>
      <c r="AB2">
        <f>HYPERLINK("https://klasma.github.io/Logging_1492/tillsyn/A 17389-2024 tillsynsbegäran.docx", "A 17389-2024")</f>
        <v/>
      </c>
      <c r="AC2">
        <f>HYPERLINK("https://klasma.github.io/Logging_1492/tillsynsmail/A 17389-2024 tillsynsbegäran mail.docx", "A 17389-2024")</f>
        <v/>
      </c>
      <c r="AD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46223</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X3">
        <f>HYPERLINK("https://klasma.github.io/Logging_1492/kartor_geotiff/A 8838-2026 georefererad karta.tif", "A 8838-2026")</f>
        <v/>
      </c>
      <c r="Z3">
        <f>HYPERLINK("https://klasma.github.io/Logging_1492/klagomål/A 8838-2026 FSC-klagomål.docx", "A 8838-2026")</f>
        <v/>
      </c>
      <c r="AA3">
        <f>HYPERLINK("https://klasma.github.io/Logging_1492/klagomålsmail/A 8838-2026 FSC-klagomål mail.docx", "A 8838-2026")</f>
        <v/>
      </c>
      <c r="AB3">
        <f>HYPERLINK("https://klasma.github.io/Logging_1492/tillsyn/A 8838-2026 tillsynsbegäran.docx", "A 8838-2026")</f>
        <v/>
      </c>
      <c r="AC3">
        <f>HYPERLINK("https://klasma.github.io/Logging_1492/tillsynsmail/A 8838-2026 tillsynsbegäran mail.docx", "A 8838-2026")</f>
        <v/>
      </c>
      <c r="AD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46223</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X4">
        <f>HYPERLINK("https://klasma.github.io/Logging_1492/kartor_geotiff/A 17535-2024 georefererad karta.tif", "A 17535-2024")</f>
        <v/>
      </c>
      <c r="Z4">
        <f>HYPERLINK("https://klasma.github.io/Logging_1492/klagomål/A 17535-2024 FSC-klagomål.docx", "A 17535-2024")</f>
        <v/>
      </c>
      <c r="AA4">
        <f>HYPERLINK("https://klasma.github.io/Logging_1492/klagomålsmail/A 17535-2024 FSC-klagomål mail.docx", "A 17535-2024")</f>
        <v/>
      </c>
      <c r="AB4">
        <f>HYPERLINK("https://klasma.github.io/Logging_1492/tillsyn/A 17535-2024 tillsynsbegäran.docx", "A 17535-2024")</f>
        <v/>
      </c>
      <c r="AC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X5">
        <f>HYPERLINK("https://klasma.github.io/Logging_1492/kartor_geotiff/A 63804-2023 georefererad karta.tif", "A 63804-2023")</f>
        <v/>
      </c>
      <c r="Z5">
        <f>HYPERLINK("https://klasma.github.io/Logging_1492/klagomål/A 63804-2023 FSC-klagomål.docx", "A 63804-2023")</f>
        <v/>
      </c>
      <c r="AA5">
        <f>HYPERLINK("https://klasma.github.io/Logging_1492/klagomålsmail/A 63804-2023 FSC-klagomål mail.docx", "A 63804-2023")</f>
        <v/>
      </c>
      <c r="AB5">
        <f>HYPERLINK("https://klasma.github.io/Logging_1492/tillsyn/A 63804-2023 tillsynsbegäran.docx", "A 63804-2023")</f>
        <v/>
      </c>
      <c r="AC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46223</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X6">
        <f>HYPERLINK("https://klasma.github.io/Logging_1492/kartor_geotiff/A 48330-2021 georefererad karta.tif", "A 48330-2021")</f>
        <v/>
      </c>
      <c r="Z6">
        <f>HYPERLINK("https://klasma.github.io/Logging_1492/klagomål/A 48330-2021 FSC-klagomål.docx", "A 48330-2021")</f>
        <v/>
      </c>
      <c r="AA6">
        <f>HYPERLINK("https://klasma.github.io/Logging_1492/klagomålsmail/A 48330-2021 FSC-klagomål mail.docx", "A 48330-2021")</f>
        <v/>
      </c>
      <c r="AB6">
        <f>HYPERLINK("https://klasma.github.io/Logging_1492/tillsyn/A 48330-2021 tillsynsbegäran.docx", "A 48330-2021")</f>
        <v/>
      </c>
      <c r="AC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46223</v>
      </c>
      <c r="F7" t="inlineStr">
        <is>
          <t>VÄSTRA GÖTALANDS LÄN</t>
        </is>
      </c>
      <c r="G7" t="inlineStr">
        <is>
          <t>ÅMÅL</t>
        </is>
      </c>
      <c r="I7" t="n">
        <v>1.9</v>
      </c>
      <c r="J7" t="n">
        <v>1</v>
      </c>
      <c r="K7" t="n">
        <v>1</v>
      </c>
      <c r="L7" t="n">
        <v>1</v>
      </c>
      <c r="M7" t="n">
        <v>0</v>
      </c>
      <c r="N7" t="n">
        <v>0</v>
      </c>
      <c r="O7" t="n">
        <v>0</v>
      </c>
      <c r="P7" t="n">
        <v>0</v>
      </c>
      <c r="Q7" t="n">
        <v>1</v>
      </c>
      <c r="R7" t="n">
        <v>0</v>
      </c>
      <c r="S7" t="n">
        <v>2</v>
      </c>
      <c r="T7" t="n">
        <v>2</v>
      </c>
      <c r="U7" s="2" t="inlineStr">
        <is>
          <t>Skogsklocka
Skogsknipprot</t>
        </is>
      </c>
      <c r="V7">
        <f>HYPERLINK("https://klasma.github.io/Logging_1492/artfynd/A 58632-2024 artfynd.xlsx", "A 58632-2024")</f>
        <v/>
      </c>
      <c r="W7">
        <f>HYPERLINK("https://klasma.github.io/Logging_1492/kartor/A 58632-2024 karta.png", "A 58632-2024")</f>
        <v/>
      </c>
      <c r="X7">
        <f>HYPERLINK("https://klasma.github.io/Logging_1492/kartor_geotiff/A 58632-2024 georefererad karta.tif", "A 58632-2024")</f>
        <v/>
      </c>
      <c r="Z7">
        <f>HYPERLINK("https://klasma.github.io/Logging_1492/klagomål/A 58632-2024 FSC-klagomål.docx", "A 58632-2024")</f>
        <v/>
      </c>
      <c r="AA7">
        <f>HYPERLINK("https://klasma.github.io/Logging_1492/klagomålsmail/A 58632-2024 FSC-klagomål mail.docx", "A 58632-2024")</f>
        <v/>
      </c>
      <c r="AB7">
        <f>HYPERLINK("https://klasma.github.io/Logging_1492/tillsyn/A 58632-2024 tillsynsbegäran.docx", "A 58632-2024")</f>
        <v/>
      </c>
      <c r="AC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46223</v>
      </c>
      <c r="F8" t="inlineStr">
        <is>
          <t>VÄSTRA GÖTALANDS LÄN</t>
        </is>
      </c>
      <c r="G8" t="inlineStr">
        <is>
          <t>ÅMÅL</t>
        </is>
      </c>
      <c r="I8" t="n">
        <v>2</v>
      </c>
      <c r="J8" t="n">
        <v>0</v>
      </c>
      <c r="K8" t="n">
        <v>1</v>
      </c>
      <c r="L8" t="n">
        <v>1</v>
      </c>
      <c r="M8" t="n">
        <v>0</v>
      </c>
      <c r="N8" t="n">
        <v>0</v>
      </c>
      <c r="O8" t="n">
        <v>0</v>
      </c>
      <c r="P8" t="n">
        <v>0</v>
      </c>
      <c r="Q8" t="n">
        <v>1</v>
      </c>
      <c r="R8" t="n">
        <v>0</v>
      </c>
      <c r="S8" t="n">
        <v>2</v>
      </c>
      <c r="T8" t="n">
        <v>2</v>
      </c>
      <c r="U8" s="2" t="inlineStr">
        <is>
          <t>Kortskaftad ärgspik
Bronshjon</t>
        </is>
      </c>
      <c r="V8">
        <f>HYPERLINK("https://klasma.github.io/Logging_1492/artfynd/A 12413-2023 artfynd.xlsx", "A 12413-2023")</f>
        <v/>
      </c>
      <c r="W8">
        <f>HYPERLINK("https://klasma.github.io/Logging_1492/kartor/A 12413-2023 karta.png", "A 12413-2023")</f>
        <v/>
      </c>
      <c r="X8">
        <f>HYPERLINK("https://klasma.github.io/Logging_1492/kartor_geotiff/A 12413-2023 georefererad karta.tif", "A 12413-2023")</f>
        <v/>
      </c>
      <c r="Z8">
        <f>HYPERLINK("https://klasma.github.io/Logging_1492/klagomål/A 12413-2023 FSC-klagomål.docx", "A 12413-2023")</f>
        <v/>
      </c>
      <c r="AA8">
        <f>HYPERLINK("https://klasma.github.io/Logging_1492/klagomålsmail/A 12413-2023 FSC-klagomål mail.docx", "A 12413-2023")</f>
        <v/>
      </c>
      <c r="AB8">
        <f>HYPERLINK("https://klasma.github.io/Logging_1492/tillsyn/A 12413-2023 tillsynsbegäran.docx", "A 12413-2023")</f>
        <v/>
      </c>
      <c r="AC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46223</v>
      </c>
      <c r="F9" t="inlineStr">
        <is>
          <t>VÄSTRA GÖTALANDS LÄN</t>
        </is>
      </c>
      <c r="G9" t="inlineStr">
        <is>
          <t>ÅMÅL</t>
        </is>
      </c>
      <c r="I9" t="n">
        <v>10.2</v>
      </c>
      <c r="J9" t="n">
        <v>0</v>
      </c>
      <c r="K9" t="n">
        <v>1</v>
      </c>
      <c r="L9" t="n">
        <v>1</v>
      </c>
      <c r="M9" t="n">
        <v>0</v>
      </c>
      <c r="N9" t="n">
        <v>0</v>
      </c>
      <c r="O9" t="n">
        <v>0</v>
      </c>
      <c r="P9" t="n">
        <v>0</v>
      </c>
      <c r="Q9" t="n">
        <v>1</v>
      </c>
      <c r="R9" t="n">
        <v>0</v>
      </c>
      <c r="S9" t="n">
        <v>2</v>
      </c>
      <c r="T9" t="n">
        <v>2</v>
      </c>
      <c r="U9" s="2" t="inlineStr">
        <is>
          <t>Dofttaggsvamp
Platt fjädermossa</t>
        </is>
      </c>
      <c r="V9">
        <f>HYPERLINK("https://klasma.github.io/Logging_1492/artfynd/A 50546-2024 artfynd.xlsx", "A 50546-2024")</f>
        <v/>
      </c>
      <c r="W9">
        <f>HYPERLINK("https://klasma.github.io/Logging_1492/kartor/A 50546-2024 karta.png", "A 50546-2024")</f>
        <v/>
      </c>
      <c r="X9">
        <f>HYPERLINK("https://klasma.github.io/Logging_1492/kartor_geotiff/A 50546-2024 georefererad karta.tif", "A 50546-2024")</f>
        <v/>
      </c>
      <c r="Z9">
        <f>HYPERLINK("https://klasma.github.io/Logging_1492/klagomål/A 50546-2024 FSC-klagomål.docx", "A 50546-2024")</f>
        <v/>
      </c>
      <c r="AA9">
        <f>HYPERLINK("https://klasma.github.io/Logging_1492/klagomålsmail/A 50546-2024 FSC-klagomål mail.docx", "A 50546-2024")</f>
        <v/>
      </c>
      <c r="AB9">
        <f>HYPERLINK("https://klasma.github.io/Logging_1492/tillsyn/A 50546-2024 tillsynsbegäran.docx", "A 50546-2024")</f>
        <v/>
      </c>
      <c r="AC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46223</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s="2" t="inlineStr">
        <is>
          <t>Dvärghäxört
Gulnål</t>
        </is>
      </c>
      <c r="V10">
        <f>HYPERLINK("https://klasma.github.io/Logging_1492/artfynd/A 32887-2023 artfynd.xlsx", "A 32887-2023")</f>
        <v/>
      </c>
      <c r="W10">
        <f>HYPERLINK("https://klasma.github.io/Logging_1492/kartor/A 32887-2023 karta.png", "A 32887-2023")</f>
        <v/>
      </c>
      <c r="X10">
        <f>HYPERLINK("https://klasma.github.io/Logging_1492/kartor_geotiff/A 32887-2023 georefererad karta.tif", "A 32887-2023")</f>
        <v/>
      </c>
      <c r="Z10">
        <f>HYPERLINK("https://klasma.github.io/Logging_1492/klagomål/A 32887-2023 FSC-klagomål.docx", "A 32887-2023")</f>
        <v/>
      </c>
      <c r="AA10">
        <f>HYPERLINK("https://klasma.github.io/Logging_1492/klagomålsmail/A 32887-2023 FSC-klagomål mail.docx", "A 32887-2023")</f>
        <v/>
      </c>
      <c r="AB10">
        <f>HYPERLINK("https://klasma.github.io/Logging_1492/tillsyn/A 32887-2023 tillsynsbegäran.docx", "A 32887-2023")</f>
        <v/>
      </c>
      <c r="AC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46223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X11">
        <f>HYPERLINK("https://klasma.github.io/Logging_1492/kartor_geotiff/S 602-2024 georefererad karta.tif", "S 602-2024")</f>
        <v/>
      </c>
      <c r="Z11">
        <f>HYPERLINK("https://klasma.github.io/Logging_1492/klagomål/S 602-2024 FSC-klagomål.docx", "S 602-2024")</f>
        <v/>
      </c>
      <c r="AA11">
        <f>HYPERLINK("https://klasma.github.io/Logging_1492/klagomålsmail/S 602-2024 FSC-klagomål mail.docx", "S 602-2024")</f>
        <v/>
      </c>
      <c r="AB11">
        <f>HYPERLINK("https://klasma.github.io/Logging_1492/tillsyn/S 602-2024 tillsynsbegäran.docx", "S 602-2024")</f>
        <v/>
      </c>
      <c r="AC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46223</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s="2" t="inlineStr">
        <is>
          <t>Vedticka</t>
        </is>
      </c>
      <c r="V12">
        <f>HYPERLINK("https://klasma.github.io/Logging_1492/artfynd/A 38064-2023 artfynd.xlsx", "A 38064-2023")</f>
        <v/>
      </c>
      <c r="W12">
        <f>HYPERLINK("https://klasma.github.io/Logging_1492/kartor/A 38064-2023 karta.png", "A 38064-2023")</f>
        <v/>
      </c>
      <c r="X12">
        <f>HYPERLINK("https://klasma.github.io/Logging_1492/kartor_geotiff/A 38064-2023 georefererad karta.tif", "A 38064-2023")</f>
        <v/>
      </c>
      <c r="Z12">
        <f>HYPERLINK("https://klasma.github.io/Logging_1492/klagomål/A 38064-2023 FSC-klagomål.docx", "A 38064-2023")</f>
        <v/>
      </c>
      <c r="AA12">
        <f>HYPERLINK("https://klasma.github.io/Logging_1492/klagomålsmail/A 38064-2023 FSC-klagomål mail.docx", "A 38064-2023")</f>
        <v/>
      </c>
      <c r="AB12">
        <f>HYPERLINK("https://klasma.github.io/Logging_1492/tillsyn/A 38064-2023 tillsynsbegäran.docx", "A 38064-2023")</f>
        <v/>
      </c>
      <c r="AC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46223</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s="2" t="inlineStr">
        <is>
          <t>Grönpyrola</t>
        </is>
      </c>
      <c r="V13">
        <f>HYPERLINK("https://klasma.github.io/Logging_1492/artfynd/A 36671-2025 artfynd.xlsx", "A 36671-2025")</f>
        <v/>
      </c>
      <c r="W13">
        <f>HYPERLINK("https://klasma.github.io/Logging_1492/kartor/A 36671-2025 karta.png", "A 36671-2025")</f>
        <v/>
      </c>
      <c r="X13">
        <f>HYPERLINK("https://klasma.github.io/Logging_1492/kartor_geotiff/A 36671-2025 georefererad karta.tif", "A 36671-2025")</f>
        <v/>
      </c>
      <c r="Z13">
        <f>HYPERLINK("https://klasma.github.io/Logging_1492/klagomål/A 36671-2025 FSC-klagomål.docx", "A 36671-2025")</f>
        <v/>
      </c>
      <c r="AA13">
        <f>HYPERLINK("https://klasma.github.io/Logging_1492/klagomålsmail/A 36671-2025 FSC-klagomål mail.docx", "A 36671-2025")</f>
        <v/>
      </c>
      <c r="AB13">
        <f>HYPERLINK("https://klasma.github.io/Logging_1492/tillsyn/A 36671-2025 tillsynsbegäran.docx", "A 36671-2025")</f>
        <v/>
      </c>
      <c r="AC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46223</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s="2" t="inlineStr">
        <is>
          <t>Luddfingersvamp</t>
        </is>
      </c>
      <c r="V14">
        <f>HYPERLINK("https://klasma.github.io/Logging_1492/artfynd/A 55118-2025 artfynd.xlsx", "A 55118-2025")</f>
        <v/>
      </c>
      <c r="W14">
        <f>HYPERLINK("https://klasma.github.io/Logging_1492/kartor/A 55118-2025 karta.png", "A 55118-2025")</f>
        <v/>
      </c>
      <c r="X14">
        <f>HYPERLINK("https://klasma.github.io/Logging_1492/kartor_geotiff/A 55118-2025 georefererad karta.tif", "A 55118-2025")</f>
        <v/>
      </c>
      <c r="Z14">
        <f>HYPERLINK("https://klasma.github.io/Logging_1492/klagomål/A 55118-2025 FSC-klagomål.docx", "A 55118-2025")</f>
        <v/>
      </c>
      <c r="AA14">
        <f>HYPERLINK("https://klasma.github.io/Logging_1492/klagomålsmail/A 55118-2025 FSC-klagomål mail.docx", "A 55118-2025")</f>
        <v/>
      </c>
      <c r="AB14">
        <f>HYPERLINK("https://klasma.github.io/Logging_1492/tillsyn/A 55118-2025 tillsynsbegäran.docx", "A 55118-2025")</f>
        <v/>
      </c>
      <c r="AC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46223</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s="2" t="inlineStr">
        <is>
          <t>Ask</t>
        </is>
      </c>
      <c r="V15">
        <f>HYPERLINK("https://klasma.github.io/Logging_1492/artfynd/A 46136-2021 artfynd.xlsx", "A 46136-2021")</f>
        <v/>
      </c>
      <c r="W15">
        <f>HYPERLINK("https://klasma.github.io/Logging_1492/kartor/A 46136-2021 karta.png", "A 46136-2021")</f>
        <v/>
      </c>
      <c r="X15">
        <f>HYPERLINK("https://klasma.github.io/Logging_1492/kartor_geotiff/A 46136-2021 georefererad karta.tif", "A 46136-2021")</f>
        <v/>
      </c>
      <c r="Z15">
        <f>HYPERLINK("https://klasma.github.io/Logging_1492/klagomål/A 46136-2021 FSC-klagomål.docx", "A 46136-2021")</f>
        <v/>
      </c>
      <c r="AA15">
        <f>HYPERLINK("https://klasma.github.io/Logging_1492/klagomålsmail/A 46136-2021 FSC-klagomål mail.docx", "A 46136-2021")</f>
        <v/>
      </c>
      <c r="AB15">
        <f>HYPERLINK("https://klasma.github.io/Logging_1492/tillsyn/A 46136-2021 tillsynsbegäran.docx", "A 46136-2021")</f>
        <v/>
      </c>
      <c r="AC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46223</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s="2" t="inlineStr">
        <is>
          <t>Dunmossa</t>
        </is>
      </c>
      <c r="V16">
        <f>HYPERLINK("https://klasma.github.io/Logging_1492/artfynd/A 31051-2026 artfynd.xlsx", "A 31051-2026")</f>
        <v/>
      </c>
      <c r="W16">
        <f>HYPERLINK("https://klasma.github.io/Logging_1492/kartor/A 31051-2026 karta.png", "A 31051-2026")</f>
        <v/>
      </c>
      <c r="X16">
        <f>HYPERLINK("https://klasma.github.io/Logging_1492/kartor_geotiff/A 31051-2026 georefererad karta.tif", "A 31051-2026")</f>
        <v/>
      </c>
      <c r="Z16">
        <f>HYPERLINK("https://klasma.github.io/Logging_1492/klagomål/A 31051-2026 FSC-klagomål.docx", "A 31051-2026")</f>
        <v/>
      </c>
      <c r="AA16">
        <f>HYPERLINK("https://klasma.github.io/Logging_1492/klagomålsmail/A 31051-2026 FSC-klagomål mail.docx", "A 31051-2026")</f>
        <v/>
      </c>
      <c r="AB16">
        <f>HYPERLINK("https://klasma.github.io/Logging_1492/tillsyn/A 31051-2026 tillsynsbegäran.docx", "A 31051-2026")</f>
        <v/>
      </c>
      <c r="AC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46223</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s="2" t="inlineStr"/>
    </row>
    <row r="18" ht="15" customHeight="1">
      <c r="A18" t="inlineStr">
        <is>
          <t>A 58883-2021</t>
        </is>
      </c>
      <c r="B18" t="inlineStr">
        <is>
          <t>avverkningsanmälan</t>
        </is>
      </c>
      <c r="C18" t="inlineStr">
        <is>
          <t>Föryngringsavverkning</t>
        </is>
      </c>
      <c r="D18" s="1" t="n">
        <v>44489</v>
      </c>
      <c r="E18" s="1" t="n">
        <v>46223</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s="2" t="inlineStr"/>
    </row>
    <row r="19" ht="15" customHeight="1">
      <c r="A19" t="inlineStr">
        <is>
          <t>A 64067-2021</t>
        </is>
      </c>
      <c r="B19" t="inlineStr">
        <is>
          <t>avverkningsanmälan</t>
        </is>
      </c>
      <c r="C19" t="inlineStr">
        <is>
          <t>Föryngringsavverkning</t>
        </is>
      </c>
      <c r="D19" s="1" t="n">
        <v>44509</v>
      </c>
      <c r="E19" s="1" t="n">
        <v>46223</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s="2" t="inlineStr"/>
    </row>
    <row r="20" ht="15" customHeight="1">
      <c r="A20" t="inlineStr">
        <is>
          <t>A 909-2022</t>
        </is>
      </c>
      <c r="B20" t="inlineStr">
        <is>
          <t>avverkningsanmälan</t>
        </is>
      </c>
      <c r="C20" t="inlineStr">
        <is>
          <t>Föryngringsavverkning</t>
        </is>
      </c>
      <c r="D20" s="1" t="n">
        <v>44571</v>
      </c>
      <c r="E20" s="1" t="n">
        <v>46223</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s="2" t="inlineStr"/>
    </row>
    <row r="21" ht="15" customHeight="1">
      <c r="A21" t="inlineStr">
        <is>
          <t>A 64999-2021</t>
        </is>
      </c>
      <c r="B21" t="inlineStr">
        <is>
          <t>avverkningsanmälan</t>
        </is>
      </c>
      <c r="C21" t="inlineStr">
        <is>
          <t>Föryngringsavverkning</t>
        </is>
      </c>
      <c r="D21" s="1" t="n">
        <v>44514</v>
      </c>
      <c r="E21" s="1" t="n">
        <v>46223</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s="2" t="inlineStr"/>
    </row>
    <row r="22" ht="15" customHeight="1">
      <c r="A22" t="inlineStr">
        <is>
          <t>A 70363-2021</t>
        </is>
      </c>
      <c r="B22" t="inlineStr">
        <is>
          <t>avverkningsanmälan</t>
        </is>
      </c>
      <c r="C22" t="inlineStr">
        <is>
          <t>Föryngringsavverkning</t>
        </is>
      </c>
      <c r="D22" s="1" t="n">
        <v>44535</v>
      </c>
      <c r="E22" s="1" t="n">
        <v>46223</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s="2" t="inlineStr"/>
    </row>
    <row r="23" ht="15" customHeight="1">
      <c r="A23" t="inlineStr">
        <is>
          <t>A 25830-2022</t>
        </is>
      </c>
      <c r="B23" t="inlineStr">
        <is>
          <t>avverkningsanmälan</t>
        </is>
      </c>
      <c r="C23" t="inlineStr">
        <is>
          <t>Föryngringsavverkning</t>
        </is>
      </c>
      <c r="D23" s="1" t="n">
        <v>44733</v>
      </c>
      <c r="E23" s="1" t="n">
        <v>46223</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s="2" t="inlineStr"/>
    </row>
    <row r="24" ht="15" customHeight="1">
      <c r="A24" t="inlineStr">
        <is>
          <t>A 54077-2021</t>
        </is>
      </c>
      <c r="B24" t="inlineStr">
        <is>
          <t>avverkningsanmälan</t>
        </is>
      </c>
      <c r="C24" t="inlineStr">
        <is>
          <t>Föryngringsavverkning</t>
        </is>
      </c>
      <c r="D24" s="1" t="n">
        <v>44470</v>
      </c>
      <c r="E24" s="1" t="n">
        <v>46223</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s="2" t="inlineStr"/>
    </row>
    <row r="25" ht="15" customHeight="1">
      <c r="A25" t="inlineStr">
        <is>
          <t>A 38015-2021</t>
        </is>
      </c>
      <c r="B25" t="inlineStr">
        <is>
          <t>avverkningsanmälan</t>
        </is>
      </c>
      <c r="C25" t="inlineStr">
        <is>
          <t>Föryngringsavverkning</t>
        </is>
      </c>
      <c r="D25" s="1" t="n">
        <v>44404</v>
      </c>
      <c r="E25" s="1" t="n">
        <v>46223</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s="2" t="inlineStr"/>
    </row>
    <row r="26" ht="15" customHeight="1">
      <c r="A26" t="inlineStr">
        <is>
          <t>A 37425-2022</t>
        </is>
      </c>
      <c r="B26" t="inlineStr">
        <is>
          <t>avverkningsanmälan</t>
        </is>
      </c>
      <c r="C26" t="inlineStr">
        <is>
          <t>Föryngringsavverkning</t>
        </is>
      </c>
      <c r="D26" s="1" t="n">
        <v>44809</v>
      </c>
      <c r="E26" s="1" t="n">
        <v>46223</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s="2" t="inlineStr"/>
    </row>
    <row r="27" ht="15" customHeight="1">
      <c r="A27" t="inlineStr">
        <is>
          <t>A 45804-2022</t>
        </is>
      </c>
      <c r="B27" t="inlineStr">
        <is>
          <t>avverkningsanmälan</t>
        </is>
      </c>
      <c r="C27" t="inlineStr">
        <is>
          <t>Föryngringsavverkning</t>
        </is>
      </c>
      <c r="D27" s="1" t="n">
        <v>44846</v>
      </c>
      <c r="E27" s="1" t="n">
        <v>46223</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s="2" t="inlineStr"/>
    </row>
    <row r="28" ht="15" customHeight="1">
      <c r="A28" t="inlineStr">
        <is>
          <t>A 25845-2022</t>
        </is>
      </c>
      <c r="B28" t="inlineStr">
        <is>
          <t>avverkningsanmälan</t>
        </is>
      </c>
      <c r="C28" t="inlineStr">
        <is>
          <t>Föryngringsavverkning</t>
        </is>
      </c>
      <c r="D28" s="1" t="n">
        <v>44733</v>
      </c>
      <c r="E28" s="1" t="n">
        <v>46223</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s="2" t="inlineStr"/>
    </row>
    <row r="29" ht="15" customHeight="1">
      <c r="A29" t="inlineStr">
        <is>
          <t>A 39842-2021</t>
        </is>
      </c>
      <c r="B29" t="inlineStr">
        <is>
          <t>avverkningsanmälan</t>
        </is>
      </c>
      <c r="C29" t="inlineStr">
        <is>
          <t>Föryngringsavverkning</t>
        </is>
      </c>
      <c r="D29" s="1" t="n">
        <v>44417</v>
      </c>
      <c r="E29" s="1" t="n">
        <v>46223</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s="2" t="inlineStr"/>
    </row>
    <row r="30" ht="15" customHeight="1">
      <c r="A30" t="inlineStr">
        <is>
          <t>A 6190-2022</t>
        </is>
      </c>
      <c r="B30" t="inlineStr">
        <is>
          <t>avverkningsanmälan</t>
        </is>
      </c>
      <c r="C30" t="inlineStr">
        <is>
          <t>Föryngringsavverkning</t>
        </is>
      </c>
      <c r="D30" s="1" t="n">
        <v>44600</v>
      </c>
      <c r="E30" s="1" t="n">
        <v>46223</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s="2" t="inlineStr"/>
    </row>
    <row r="31" ht="15" customHeight="1">
      <c r="A31" t="inlineStr">
        <is>
          <t>A 37804-2021</t>
        </is>
      </c>
      <c r="B31" t="inlineStr">
        <is>
          <t>avverkningsanmälan</t>
        </is>
      </c>
      <c r="C31" t="inlineStr">
        <is>
          <t>Avverkning för annat ändamål</t>
        </is>
      </c>
      <c r="D31" s="1" t="n">
        <v>44402</v>
      </c>
      <c r="E31" s="1" t="n">
        <v>46223</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s="2" t="inlineStr"/>
    </row>
    <row r="32" ht="15" customHeight="1">
      <c r="A32" t="inlineStr">
        <is>
          <t>A 37813-2021</t>
        </is>
      </c>
      <c r="B32" t="inlineStr">
        <is>
          <t>avverkningsanmälan</t>
        </is>
      </c>
      <c r="C32" t="inlineStr">
        <is>
          <t>Avverkning för annat ändamål</t>
        </is>
      </c>
      <c r="D32" s="1" t="n">
        <v>44402</v>
      </c>
      <c r="E32" s="1" t="n">
        <v>46223</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s="2" t="inlineStr"/>
    </row>
    <row r="33" ht="15" customHeight="1">
      <c r="A33" t="inlineStr">
        <is>
          <t>A 37814-2021</t>
        </is>
      </c>
      <c r="B33" t="inlineStr">
        <is>
          <t>avverkningsanmälan</t>
        </is>
      </c>
      <c r="C33" t="inlineStr">
        <is>
          <t>Avverkning för annat ändamål</t>
        </is>
      </c>
      <c r="D33" s="1" t="n">
        <v>44402</v>
      </c>
      <c r="E33" s="1" t="n">
        <v>46223</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s="2" t="inlineStr"/>
    </row>
    <row r="34" ht="15" customHeight="1">
      <c r="A34" t="inlineStr">
        <is>
          <t>A 37787-2021</t>
        </is>
      </c>
      <c r="B34" t="inlineStr">
        <is>
          <t>avverkningsanmälan</t>
        </is>
      </c>
      <c r="C34" t="inlineStr">
        <is>
          <t>Avverkning för annat ändamål</t>
        </is>
      </c>
      <c r="D34" s="1" t="n">
        <v>44401</v>
      </c>
      <c r="E34" s="1" t="n">
        <v>46223</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46223</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68194-2021</t>
        </is>
      </c>
      <c r="B36" t="inlineStr">
        <is>
          <t>avverkningsanmälan</t>
        </is>
      </c>
      <c r="C36" t="inlineStr">
        <is>
          <t>Föryngringsavverkning</t>
        </is>
      </c>
      <c r="D36" s="1" t="n">
        <v>44526</v>
      </c>
      <c r="E36" s="1" t="n">
        <v>46223</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s="2" t="inlineStr"/>
    </row>
    <row r="37" ht="15" customHeight="1">
      <c r="A37" t="inlineStr">
        <is>
          <t>A 38566-2021</t>
        </is>
      </c>
      <c r="B37" t="inlineStr">
        <is>
          <t>avverkningsanmälan</t>
        </is>
      </c>
      <c r="C37" t="inlineStr">
        <is>
          <t>Föryngringsavverkning</t>
        </is>
      </c>
      <c r="D37" s="1" t="n">
        <v>44407</v>
      </c>
      <c r="E37" s="1" t="n">
        <v>46223</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s="2" t="inlineStr"/>
    </row>
    <row r="38" ht="15" customHeight="1">
      <c r="A38" t="inlineStr">
        <is>
          <t>A 69666-2021</t>
        </is>
      </c>
      <c r="B38" t="inlineStr">
        <is>
          <t>avverkningsanmälan</t>
        </is>
      </c>
      <c r="C38" t="inlineStr">
        <is>
          <t>Föryngringsavverkning</t>
        </is>
      </c>
      <c r="D38" s="1" t="n">
        <v>44532</v>
      </c>
      <c r="E38" s="1" t="n">
        <v>46223</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s="2" t="inlineStr"/>
    </row>
    <row r="39" ht="15" customHeight="1">
      <c r="A39" t="inlineStr">
        <is>
          <t>A 55581-2021</t>
        </is>
      </c>
      <c r="B39" t="inlineStr">
        <is>
          <t>avverkningsanmälan</t>
        </is>
      </c>
      <c r="C39" t="inlineStr">
        <is>
          <t>Föryngringsavverkning</t>
        </is>
      </c>
      <c r="D39" s="1" t="n">
        <v>44475</v>
      </c>
      <c r="E39" s="1" t="n">
        <v>46223</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s="2" t="inlineStr"/>
    </row>
    <row r="40" ht="15" customHeight="1">
      <c r="A40" t="inlineStr">
        <is>
          <t>A 61207-2021</t>
        </is>
      </c>
      <c r="B40" t="inlineStr">
        <is>
          <t>avverkningsanmälan</t>
        </is>
      </c>
      <c r="C40" t="inlineStr">
        <is>
          <t>Avverkning för annat ändamål</t>
        </is>
      </c>
      <c r="D40" s="1" t="n">
        <v>44498</v>
      </c>
      <c r="E40" s="1" t="n">
        <v>46223</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s="2" t="inlineStr"/>
    </row>
    <row r="41" ht="15" customHeight="1">
      <c r="A41" t="inlineStr">
        <is>
          <t>A 63214-2021</t>
        </is>
      </c>
      <c r="B41" t="inlineStr">
        <is>
          <t>avverkningsanmälan</t>
        </is>
      </c>
      <c r="C41" t="inlineStr">
        <is>
          <t>Föryngringsavverkning</t>
        </is>
      </c>
      <c r="D41" s="1" t="n">
        <v>44505</v>
      </c>
      <c r="E41" s="1" t="n">
        <v>46223</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s="2" t="inlineStr"/>
    </row>
    <row r="42" ht="15" customHeight="1">
      <c r="A42" t="inlineStr">
        <is>
          <t>A 59809-2021</t>
        </is>
      </c>
      <c r="B42" t="inlineStr">
        <is>
          <t>avverkningsanmälan</t>
        </is>
      </c>
      <c r="C42" t="inlineStr">
        <is>
          <t>Föryngringsavverkning</t>
        </is>
      </c>
      <c r="D42" s="1" t="n">
        <v>44494</v>
      </c>
      <c r="E42" s="1" t="n">
        <v>46223</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s="2" t="inlineStr"/>
    </row>
    <row r="43" ht="15" customHeight="1">
      <c r="A43" t="inlineStr">
        <is>
          <t>A 38565-2021</t>
        </is>
      </c>
      <c r="B43" t="inlineStr">
        <is>
          <t>avverkningsanmälan</t>
        </is>
      </c>
      <c r="C43" t="inlineStr">
        <is>
          <t>Föryngringsavverkning</t>
        </is>
      </c>
      <c r="D43" s="1" t="n">
        <v>44407</v>
      </c>
      <c r="E43" s="1" t="n">
        <v>46223</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s="2" t="inlineStr"/>
    </row>
    <row r="44" ht="15" customHeight="1">
      <c r="A44" t="inlineStr">
        <is>
          <t>A 48433-2022</t>
        </is>
      </c>
      <c r="B44" t="inlineStr">
        <is>
          <t>avverkningsanmälan</t>
        </is>
      </c>
      <c r="C44" t="inlineStr">
        <is>
          <t>Föryngringsavverkning</t>
        </is>
      </c>
      <c r="D44" s="1" t="n">
        <v>44858</v>
      </c>
      <c r="E44" s="1" t="n">
        <v>46223</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s="2" t="inlineStr"/>
    </row>
    <row r="45" ht="15" customHeight="1">
      <c r="A45" t="inlineStr">
        <is>
          <t>A 28880-2022</t>
        </is>
      </c>
      <c r="B45" t="inlineStr">
        <is>
          <t>avverkningsanmälan</t>
        </is>
      </c>
      <c r="C45" t="inlineStr">
        <is>
          <t>Avverkning för annat ändamål</t>
        </is>
      </c>
      <c r="D45" s="1" t="n">
        <v>44749</v>
      </c>
      <c r="E45" s="1" t="n">
        <v>46223</v>
      </c>
      <c r="F45" t="inlineStr">
        <is>
          <t>VÄSTRA GÖTALANDS LÄN</t>
        </is>
      </c>
      <c r="G45" t="inlineStr">
        <is>
          <t>ÅMÅL</t>
        </is>
      </c>
      <c r="I45" t="n">
        <v>1.2</v>
      </c>
      <c r="J45" t="n">
        <v>0</v>
      </c>
      <c r="K45" t="n">
        <v>0</v>
      </c>
      <c r="L45" t="n">
        <v>0</v>
      </c>
      <c r="M45" t="n">
        <v>0</v>
      </c>
      <c r="N45" t="n">
        <v>0</v>
      </c>
      <c r="O45" t="n">
        <v>0</v>
      </c>
      <c r="P45" t="n">
        <v>0</v>
      </c>
      <c r="Q45" t="n">
        <v>0</v>
      </c>
      <c r="R45" t="n">
        <v>0</v>
      </c>
      <c r="S45" t="n">
        <v>0</v>
      </c>
      <c r="T45" t="n">
        <v>0</v>
      </c>
      <c r="U45" s="2" t="inlineStr"/>
    </row>
    <row r="46" ht="15" customHeight="1">
      <c r="A46" t="inlineStr">
        <is>
          <t>A 19471-2023</t>
        </is>
      </c>
      <c r="B46" t="inlineStr">
        <is>
          <t>avverkningsanmälan</t>
        </is>
      </c>
      <c r="C46" t="inlineStr">
        <is>
          <t>Föryngringsavverkning</t>
        </is>
      </c>
      <c r="D46" s="1" t="n">
        <v>45050</v>
      </c>
      <c r="E46" s="1" t="n">
        <v>46223</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s="2" t="inlineStr"/>
    </row>
    <row r="47" ht="15" customHeight="1">
      <c r="A47" t="inlineStr">
        <is>
          <t>A 49090-2023</t>
        </is>
      </c>
      <c r="B47" t="inlineStr">
        <is>
          <t>avverkningsanmälan</t>
        </is>
      </c>
      <c r="C47" t="inlineStr">
        <is>
          <t>Föryngringsavverkning</t>
        </is>
      </c>
      <c r="D47" s="1" t="n">
        <v>45204</v>
      </c>
      <c r="E47" s="1" t="n">
        <v>46223</v>
      </c>
      <c r="F47" t="inlineStr">
        <is>
          <t>VÄSTRA GÖTALANDS LÄN</t>
        </is>
      </c>
      <c r="G47" t="inlineStr">
        <is>
          <t>ÅMÅL</t>
        </is>
      </c>
      <c r="H47" t="inlineStr">
        <is>
          <t>Bergvik skog väst AB</t>
        </is>
      </c>
      <c r="I47" t="n">
        <v>4.3</v>
      </c>
      <c r="J47" t="n">
        <v>0</v>
      </c>
      <c r="K47" t="n">
        <v>0</v>
      </c>
      <c r="L47" t="n">
        <v>0</v>
      </c>
      <c r="M47" t="n">
        <v>0</v>
      </c>
      <c r="N47" t="n">
        <v>0</v>
      </c>
      <c r="O47" t="n">
        <v>0</v>
      </c>
      <c r="P47" t="n">
        <v>0</v>
      </c>
      <c r="Q47" t="n">
        <v>0</v>
      </c>
      <c r="R47" t="n">
        <v>0</v>
      </c>
      <c r="S47" t="n">
        <v>0</v>
      </c>
      <c r="T47" t="n">
        <v>0</v>
      </c>
      <c r="U47" s="2" t="inlineStr"/>
    </row>
    <row r="48" ht="15" customHeight="1">
      <c r="A48" t="inlineStr">
        <is>
          <t>A 5966-2024</t>
        </is>
      </c>
      <c r="B48" t="inlineStr">
        <is>
          <t>avverkningsanmälan</t>
        </is>
      </c>
      <c r="C48" t="inlineStr">
        <is>
          <t>Föryngringsavverkning</t>
        </is>
      </c>
      <c r="D48" s="1" t="n">
        <v>45336</v>
      </c>
      <c r="E48" s="1" t="n">
        <v>46223</v>
      </c>
      <c r="F48" t="inlineStr">
        <is>
          <t>VÄSTRA GÖTALANDS LÄN</t>
        </is>
      </c>
      <c r="G48" t="inlineStr">
        <is>
          <t>ÅMÅL</t>
        </is>
      </c>
      <c r="I48" t="n">
        <v>1.7</v>
      </c>
      <c r="J48" t="n">
        <v>0</v>
      </c>
      <c r="K48" t="n">
        <v>0</v>
      </c>
      <c r="L48" t="n">
        <v>0</v>
      </c>
      <c r="M48" t="n">
        <v>0</v>
      </c>
      <c r="N48" t="n">
        <v>0</v>
      </c>
      <c r="O48" t="n">
        <v>0</v>
      </c>
      <c r="P48" t="n">
        <v>0</v>
      </c>
      <c r="Q48" t="n">
        <v>0</v>
      </c>
      <c r="R48" t="n">
        <v>0</v>
      </c>
      <c r="S48" t="n">
        <v>0</v>
      </c>
      <c r="T48" t="n">
        <v>0</v>
      </c>
      <c r="U48" s="2" t="inlineStr"/>
    </row>
    <row r="49" ht="15" customHeight="1">
      <c r="A49" t="inlineStr">
        <is>
          <t>A 17391-2024</t>
        </is>
      </c>
      <c r="B49" t="inlineStr">
        <is>
          <t>avverkningsanmälan</t>
        </is>
      </c>
      <c r="C49" t="inlineStr">
        <is>
          <t>Föryngringsavverkning</t>
        </is>
      </c>
      <c r="D49" s="1" t="n">
        <v>45414</v>
      </c>
      <c r="E49" s="1" t="n">
        <v>46223</v>
      </c>
      <c r="F49" t="inlineStr">
        <is>
          <t>VÄSTRA GÖTALANDS LÄN</t>
        </is>
      </c>
      <c r="G49" t="inlineStr">
        <is>
          <t>ÅMÅL</t>
        </is>
      </c>
      <c r="I49" t="n">
        <v>2.3</v>
      </c>
      <c r="J49" t="n">
        <v>0</v>
      </c>
      <c r="K49" t="n">
        <v>0</v>
      </c>
      <c r="L49" t="n">
        <v>0</v>
      </c>
      <c r="M49" t="n">
        <v>0</v>
      </c>
      <c r="N49" t="n">
        <v>0</v>
      </c>
      <c r="O49" t="n">
        <v>0</v>
      </c>
      <c r="P49" t="n">
        <v>0</v>
      </c>
      <c r="Q49" t="n">
        <v>0</v>
      </c>
      <c r="R49" t="n">
        <v>0</v>
      </c>
      <c r="S49" t="n">
        <v>0</v>
      </c>
      <c r="T49" t="n">
        <v>0</v>
      </c>
      <c r="U49" s="2" t="inlineStr"/>
    </row>
    <row r="50" ht="15" customHeight="1">
      <c r="A50" t="inlineStr">
        <is>
          <t>A 51067-2022</t>
        </is>
      </c>
      <c r="B50" t="inlineStr">
        <is>
          <t>avverkningsanmälan</t>
        </is>
      </c>
      <c r="C50" t="inlineStr">
        <is>
          <t>Föryngringsavverkning</t>
        </is>
      </c>
      <c r="D50" s="1" t="n">
        <v>44868</v>
      </c>
      <c r="E50" s="1" t="n">
        <v>46223</v>
      </c>
      <c r="F50" t="inlineStr">
        <is>
          <t>VÄSTRA GÖTALANDS LÄN</t>
        </is>
      </c>
      <c r="G50" t="inlineStr">
        <is>
          <t>ÅMÅL</t>
        </is>
      </c>
      <c r="I50" t="n">
        <v>3</v>
      </c>
      <c r="J50" t="n">
        <v>0</v>
      </c>
      <c r="K50" t="n">
        <v>0</v>
      </c>
      <c r="L50" t="n">
        <v>0</v>
      </c>
      <c r="M50" t="n">
        <v>0</v>
      </c>
      <c r="N50" t="n">
        <v>0</v>
      </c>
      <c r="O50" t="n">
        <v>0</v>
      </c>
      <c r="P50" t="n">
        <v>0</v>
      </c>
      <c r="Q50" t="n">
        <v>0</v>
      </c>
      <c r="R50" t="n">
        <v>0</v>
      </c>
      <c r="S50" t="n">
        <v>0</v>
      </c>
      <c r="T50" t="n">
        <v>0</v>
      </c>
      <c r="U50" s="2" t="inlineStr"/>
    </row>
    <row r="51" ht="15" customHeight="1">
      <c r="A51" t="inlineStr">
        <is>
          <t>A 56210-2022</t>
        </is>
      </c>
      <c r="B51" t="inlineStr">
        <is>
          <t>avverkningsanmälan</t>
        </is>
      </c>
      <c r="C51" t="inlineStr">
        <is>
          <t>Föryngringsavverkning</t>
        </is>
      </c>
      <c r="D51" s="1" t="n">
        <v>44890</v>
      </c>
      <c r="E51" s="1" t="n">
        <v>46223</v>
      </c>
      <c r="F51" t="inlineStr">
        <is>
          <t>VÄSTRA GÖTALANDS LÄN</t>
        </is>
      </c>
      <c r="G51" t="inlineStr">
        <is>
          <t>ÅMÅL</t>
        </is>
      </c>
      <c r="I51" t="n">
        <v>1.3</v>
      </c>
      <c r="J51" t="n">
        <v>0</v>
      </c>
      <c r="K51" t="n">
        <v>0</v>
      </c>
      <c r="L51" t="n">
        <v>0</v>
      </c>
      <c r="M51" t="n">
        <v>0</v>
      </c>
      <c r="N51" t="n">
        <v>0</v>
      </c>
      <c r="O51" t="n">
        <v>0</v>
      </c>
      <c r="P51" t="n">
        <v>0</v>
      </c>
      <c r="Q51" t="n">
        <v>0</v>
      </c>
      <c r="R51" t="n">
        <v>0</v>
      </c>
      <c r="S51" t="n">
        <v>0</v>
      </c>
      <c r="T51" t="n">
        <v>0</v>
      </c>
      <c r="U51" s="2" t="inlineStr"/>
    </row>
    <row r="52" ht="15" customHeight="1">
      <c r="A52" t="inlineStr">
        <is>
          <t>A 56218-2022</t>
        </is>
      </c>
      <c r="B52" t="inlineStr">
        <is>
          <t>avverkningsanmälan</t>
        </is>
      </c>
      <c r="C52" t="inlineStr">
        <is>
          <t>Föryngringsavverkning</t>
        </is>
      </c>
      <c r="D52" s="1" t="n">
        <v>44890</v>
      </c>
      <c r="E52" s="1" t="n">
        <v>46223</v>
      </c>
      <c r="F52" t="inlineStr">
        <is>
          <t>VÄSTRA GÖTALANDS LÄN</t>
        </is>
      </c>
      <c r="G52" t="inlineStr">
        <is>
          <t>ÅMÅL</t>
        </is>
      </c>
      <c r="I52" t="n">
        <v>2</v>
      </c>
      <c r="J52" t="n">
        <v>0</v>
      </c>
      <c r="K52" t="n">
        <v>0</v>
      </c>
      <c r="L52" t="n">
        <v>0</v>
      </c>
      <c r="M52" t="n">
        <v>0</v>
      </c>
      <c r="N52" t="n">
        <v>0</v>
      </c>
      <c r="O52" t="n">
        <v>0</v>
      </c>
      <c r="P52" t="n">
        <v>0</v>
      </c>
      <c r="Q52" t="n">
        <v>0</v>
      </c>
      <c r="R52" t="n">
        <v>0</v>
      </c>
      <c r="S52" t="n">
        <v>0</v>
      </c>
      <c r="T52" t="n">
        <v>0</v>
      </c>
      <c r="U52" s="2" t="inlineStr"/>
    </row>
    <row r="53" ht="15" customHeight="1">
      <c r="A53" t="inlineStr">
        <is>
          <t>A 38526-2022</t>
        </is>
      </c>
      <c r="B53" t="inlineStr">
        <is>
          <t>avverkningsanmälan</t>
        </is>
      </c>
      <c r="C53" t="inlineStr">
        <is>
          <t>Föryngringsavverkning</t>
        </is>
      </c>
      <c r="D53" s="1" t="n">
        <v>44813</v>
      </c>
      <c r="E53" s="1" t="n">
        <v>46223</v>
      </c>
      <c r="F53" t="inlineStr">
        <is>
          <t>VÄSTRA GÖTALANDS LÄN</t>
        </is>
      </c>
      <c r="G53" t="inlineStr">
        <is>
          <t>ÅMÅL</t>
        </is>
      </c>
      <c r="I53" t="n">
        <v>4.1</v>
      </c>
      <c r="J53" t="n">
        <v>0</v>
      </c>
      <c r="K53" t="n">
        <v>0</v>
      </c>
      <c r="L53" t="n">
        <v>0</v>
      </c>
      <c r="M53" t="n">
        <v>0</v>
      </c>
      <c r="N53" t="n">
        <v>0</v>
      </c>
      <c r="O53" t="n">
        <v>0</v>
      </c>
      <c r="P53" t="n">
        <v>0</v>
      </c>
      <c r="Q53" t="n">
        <v>0</v>
      </c>
      <c r="R53" t="n">
        <v>0</v>
      </c>
      <c r="S53" t="n">
        <v>0</v>
      </c>
      <c r="T53" t="n">
        <v>0</v>
      </c>
      <c r="U53" s="2" t="inlineStr"/>
    </row>
    <row r="54" ht="15" customHeight="1">
      <c r="A54" t="inlineStr">
        <is>
          <t>A 35154-2022</t>
        </is>
      </c>
      <c r="B54" t="inlineStr">
        <is>
          <t>avverkningsanmälan</t>
        </is>
      </c>
      <c r="C54" t="inlineStr">
        <is>
          <t>Föryngringsavverkning</t>
        </is>
      </c>
      <c r="D54" s="1" t="n">
        <v>44797</v>
      </c>
      <c r="E54" s="1" t="n">
        <v>46223</v>
      </c>
      <c r="F54" t="inlineStr">
        <is>
          <t>VÄSTRA GÖTALANDS LÄN</t>
        </is>
      </c>
      <c r="G54" t="inlineStr">
        <is>
          <t>ÅMÅL</t>
        </is>
      </c>
      <c r="I54" t="n">
        <v>1.3</v>
      </c>
      <c r="J54" t="n">
        <v>0</v>
      </c>
      <c r="K54" t="n">
        <v>0</v>
      </c>
      <c r="L54" t="n">
        <v>0</v>
      </c>
      <c r="M54" t="n">
        <v>0</v>
      </c>
      <c r="N54" t="n">
        <v>0</v>
      </c>
      <c r="O54" t="n">
        <v>0</v>
      </c>
      <c r="P54" t="n">
        <v>0</v>
      </c>
      <c r="Q54" t="n">
        <v>0</v>
      </c>
      <c r="R54" t="n">
        <v>0</v>
      </c>
      <c r="S54" t="n">
        <v>0</v>
      </c>
      <c r="T54" t="n">
        <v>0</v>
      </c>
      <c r="U54" s="2" t="inlineStr"/>
    </row>
    <row r="55" ht="15" customHeight="1">
      <c r="A55" t="inlineStr">
        <is>
          <t>A 11916-2024</t>
        </is>
      </c>
      <c r="B55" t="inlineStr">
        <is>
          <t>avverkningsanmälan</t>
        </is>
      </c>
      <c r="C55" t="inlineStr">
        <is>
          <t>Föryngringsavverkning</t>
        </is>
      </c>
      <c r="D55" s="1" t="n">
        <v>45376</v>
      </c>
      <c r="E55" s="1" t="n">
        <v>46223</v>
      </c>
      <c r="F55" t="inlineStr">
        <is>
          <t>VÄSTRA GÖTALANDS LÄN</t>
        </is>
      </c>
      <c r="G55" t="inlineStr">
        <is>
          <t>ÅMÅL</t>
        </is>
      </c>
      <c r="H55" t="inlineStr">
        <is>
          <t>Bergvik skog väst AB</t>
        </is>
      </c>
      <c r="I55" t="n">
        <v>5.3</v>
      </c>
      <c r="J55" t="n">
        <v>0</v>
      </c>
      <c r="K55" t="n">
        <v>0</v>
      </c>
      <c r="L55" t="n">
        <v>0</v>
      </c>
      <c r="M55" t="n">
        <v>0</v>
      </c>
      <c r="N55" t="n">
        <v>0</v>
      </c>
      <c r="O55" t="n">
        <v>0</v>
      </c>
      <c r="P55" t="n">
        <v>0</v>
      </c>
      <c r="Q55" t="n">
        <v>0</v>
      </c>
      <c r="R55" t="n">
        <v>0</v>
      </c>
      <c r="S55" t="n">
        <v>0</v>
      </c>
      <c r="T55" t="n">
        <v>0</v>
      </c>
      <c r="U55" s="2" t="inlineStr"/>
    </row>
    <row r="56" ht="15" customHeight="1">
      <c r="A56" t="inlineStr">
        <is>
          <t>A 45667-2022</t>
        </is>
      </c>
      <c r="B56" t="inlineStr">
        <is>
          <t>avverkningsanmälan</t>
        </is>
      </c>
      <c r="C56" t="inlineStr">
        <is>
          <t>Föryngringsavverkning</t>
        </is>
      </c>
      <c r="D56" s="1" t="n">
        <v>44845</v>
      </c>
      <c r="E56" s="1" t="n">
        <v>46223</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s="2" t="inlineStr"/>
    </row>
    <row r="57" ht="15" customHeight="1">
      <c r="A57" t="inlineStr">
        <is>
          <t>A 2027-2022</t>
        </is>
      </c>
      <c r="B57" t="inlineStr">
        <is>
          <t>avverkningsanmälan</t>
        </is>
      </c>
      <c r="C57" t="inlineStr">
        <is>
          <t>Föryngringsavverkning</t>
        </is>
      </c>
      <c r="D57" s="1" t="n">
        <v>44575</v>
      </c>
      <c r="E57" s="1" t="n">
        <v>46223</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s="2" t="inlineStr"/>
    </row>
    <row r="58" ht="15" customHeight="1">
      <c r="A58" t="inlineStr">
        <is>
          <t>A 58225-2021</t>
        </is>
      </c>
      <c r="B58" t="inlineStr">
        <is>
          <t>avverkningsanmälan</t>
        </is>
      </c>
      <c r="C58" t="inlineStr">
        <is>
          <t>Föryngringsavverkning</t>
        </is>
      </c>
      <c r="D58" s="1" t="n">
        <v>44487</v>
      </c>
      <c r="E58" s="1" t="n">
        <v>46223</v>
      </c>
      <c r="F58" t="inlineStr">
        <is>
          <t>VÄSTRA GÖTALANDS LÄN</t>
        </is>
      </c>
      <c r="G58" t="inlineStr">
        <is>
          <t>ÅMÅL</t>
        </is>
      </c>
      <c r="I58" t="n">
        <v>4.6</v>
      </c>
      <c r="J58" t="n">
        <v>0</v>
      </c>
      <c r="K58" t="n">
        <v>0</v>
      </c>
      <c r="L58" t="n">
        <v>0</v>
      </c>
      <c r="M58" t="n">
        <v>0</v>
      </c>
      <c r="N58" t="n">
        <v>0</v>
      </c>
      <c r="O58" t="n">
        <v>0</v>
      </c>
      <c r="P58" t="n">
        <v>0</v>
      </c>
      <c r="Q58" t="n">
        <v>0</v>
      </c>
      <c r="R58" t="n">
        <v>0</v>
      </c>
      <c r="S58" t="n">
        <v>0</v>
      </c>
      <c r="T58" t="n">
        <v>0</v>
      </c>
      <c r="U58" s="2" t="inlineStr"/>
    </row>
    <row r="59" ht="15" customHeight="1">
      <c r="A59" t="inlineStr">
        <is>
          <t>A 30616-2024</t>
        </is>
      </c>
      <c r="B59" t="inlineStr">
        <is>
          <t>avverkningsanmälan</t>
        </is>
      </c>
      <c r="C59" t="inlineStr">
        <is>
          <t>Föryngringsavverkning</t>
        </is>
      </c>
      <c r="D59" s="1" t="n">
        <v>45495</v>
      </c>
      <c r="E59" s="1" t="n">
        <v>46223</v>
      </c>
      <c r="F59" t="inlineStr">
        <is>
          <t>VÄSTRA GÖTALANDS LÄN</t>
        </is>
      </c>
      <c r="G59" t="inlineStr">
        <is>
          <t>ÅMÅL</t>
        </is>
      </c>
      <c r="I59" t="n">
        <v>0.7</v>
      </c>
      <c r="J59" t="n">
        <v>0</v>
      </c>
      <c r="K59" t="n">
        <v>0</v>
      </c>
      <c r="L59" t="n">
        <v>0</v>
      </c>
      <c r="M59" t="n">
        <v>0</v>
      </c>
      <c r="N59" t="n">
        <v>0</v>
      </c>
      <c r="O59" t="n">
        <v>0</v>
      </c>
      <c r="P59" t="n">
        <v>0</v>
      </c>
      <c r="Q59" t="n">
        <v>0</v>
      </c>
      <c r="R59" t="n">
        <v>0</v>
      </c>
      <c r="S59" t="n">
        <v>0</v>
      </c>
      <c r="T59" t="n">
        <v>0</v>
      </c>
      <c r="U59" s="2" t="inlineStr"/>
    </row>
    <row r="60" ht="15" customHeight="1">
      <c r="A60" t="inlineStr">
        <is>
          <t>A 3141-2022</t>
        </is>
      </c>
      <c r="B60" t="inlineStr">
        <is>
          <t>avverkningsanmälan</t>
        </is>
      </c>
      <c r="C60" t="inlineStr">
        <is>
          <t>Föryngringsavverkning</t>
        </is>
      </c>
      <c r="D60" s="1" t="n">
        <v>44582</v>
      </c>
      <c r="E60" s="1" t="n">
        <v>46223</v>
      </c>
      <c r="F60" t="inlineStr">
        <is>
          <t>VÄSTRA GÖTALANDS LÄN</t>
        </is>
      </c>
      <c r="G60" t="inlineStr">
        <is>
          <t>ÅMÅL</t>
        </is>
      </c>
      <c r="I60" t="n">
        <v>2</v>
      </c>
      <c r="J60" t="n">
        <v>0</v>
      </c>
      <c r="K60" t="n">
        <v>0</v>
      </c>
      <c r="L60" t="n">
        <v>0</v>
      </c>
      <c r="M60" t="n">
        <v>0</v>
      </c>
      <c r="N60" t="n">
        <v>0</v>
      </c>
      <c r="O60" t="n">
        <v>0</v>
      </c>
      <c r="P60" t="n">
        <v>0</v>
      </c>
      <c r="Q60" t="n">
        <v>0</v>
      </c>
      <c r="R60" t="n">
        <v>0</v>
      </c>
      <c r="S60" t="n">
        <v>0</v>
      </c>
      <c r="T60" t="n">
        <v>0</v>
      </c>
      <c r="U60" s="2" t="inlineStr"/>
    </row>
    <row r="61" ht="15" customHeight="1">
      <c r="A61" t="inlineStr">
        <is>
          <t>A 4862-2024</t>
        </is>
      </c>
      <c r="B61" t="inlineStr">
        <is>
          <t>avverkningsanmälan</t>
        </is>
      </c>
      <c r="C61" t="inlineStr">
        <is>
          <t>Föryngringsavverkning</t>
        </is>
      </c>
      <c r="D61" s="1" t="n">
        <v>45329</v>
      </c>
      <c r="E61" s="1" t="n">
        <v>46223</v>
      </c>
      <c r="F61" t="inlineStr">
        <is>
          <t>VÄSTRA GÖTALANDS LÄN</t>
        </is>
      </c>
      <c r="G61" t="inlineStr">
        <is>
          <t>ÅMÅL</t>
        </is>
      </c>
      <c r="H61" t="inlineStr">
        <is>
          <t>Bergvik skog väst AB</t>
        </is>
      </c>
      <c r="I61" t="n">
        <v>1.1</v>
      </c>
      <c r="J61" t="n">
        <v>0</v>
      </c>
      <c r="K61" t="n">
        <v>0</v>
      </c>
      <c r="L61" t="n">
        <v>0</v>
      </c>
      <c r="M61" t="n">
        <v>0</v>
      </c>
      <c r="N61" t="n">
        <v>0</v>
      </c>
      <c r="O61" t="n">
        <v>0</v>
      </c>
      <c r="P61" t="n">
        <v>0</v>
      </c>
      <c r="Q61" t="n">
        <v>0</v>
      </c>
      <c r="R61" t="n">
        <v>0</v>
      </c>
      <c r="S61" t="n">
        <v>0</v>
      </c>
      <c r="T61" t="n">
        <v>0</v>
      </c>
      <c r="U61" s="2" t="inlineStr"/>
    </row>
    <row r="62" ht="15" customHeight="1">
      <c r="A62" t="inlineStr">
        <is>
          <t>A 8092-2025</t>
        </is>
      </c>
      <c r="B62" t="inlineStr">
        <is>
          <t>avverkningsanmälan</t>
        </is>
      </c>
      <c r="C62" t="inlineStr">
        <is>
          <t>Föryngringsavverkning</t>
        </is>
      </c>
      <c r="D62" s="1" t="n">
        <v>45707</v>
      </c>
      <c r="E62" s="1" t="n">
        <v>46223</v>
      </c>
      <c r="F62" t="inlineStr">
        <is>
          <t>VÄSTRA GÖTALANDS LÄN</t>
        </is>
      </c>
      <c r="G62" t="inlineStr">
        <is>
          <t>ÅMÅL</t>
        </is>
      </c>
      <c r="I62" t="n">
        <v>1</v>
      </c>
      <c r="J62" t="n">
        <v>0</v>
      </c>
      <c r="K62" t="n">
        <v>0</v>
      </c>
      <c r="L62" t="n">
        <v>0</v>
      </c>
      <c r="M62" t="n">
        <v>0</v>
      </c>
      <c r="N62" t="n">
        <v>0</v>
      </c>
      <c r="O62" t="n">
        <v>0</v>
      </c>
      <c r="P62" t="n">
        <v>0</v>
      </c>
      <c r="Q62" t="n">
        <v>0</v>
      </c>
      <c r="R62" t="n">
        <v>0</v>
      </c>
      <c r="S62" t="n">
        <v>0</v>
      </c>
      <c r="T62" t="n">
        <v>0</v>
      </c>
      <c r="U62" s="2" t="inlineStr"/>
    </row>
    <row r="63" ht="15" customHeight="1">
      <c r="A63" t="inlineStr">
        <is>
          <t>A 70345-2021</t>
        </is>
      </c>
      <c r="B63" t="inlineStr">
        <is>
          <t>avverkningsanmälan</t>
        </is>
      </c>
      <c r="C63" t="inlineStr">
        <is>
          <t>Föryngringsavverkning</t>
        </is>
      </c>
      <c r="D63" s="1" t="n">
        <v>44536</v>
      </c>
      <c r="E63" s="1" t="n">
        <v>46223</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s="2" t="inlineStr"/>
    </row>
    <row r="64" ht="15" customHeight="1">
      <c r="A64" t="inlineStr">
        <is>
          <t>A 47026-2024</t>
        </is>
      </c>
      <c r="B64" t="inlineStr">
        <is>
          <t>avverkningsanmälan</t>
        </is>
      </c>
      <c r="C64" t="inlineStr">
        <is>
          <t>Föryngringsavverkning</t>
        </is>
      </c>
      <c r="D64" s="1" t="n">
        <v>45586</v>
      </c>
      <c r="E64" s="1" t="n">
        <v>46223</v>
      </c>
      <c r="F64" t="inlineStr">
        <is>
          <t>VÄSTRA GÖTALANDS LÄN</t>
        </is>
      </c>
      <c r="G64" t="inlineStr">
        <is>
          <t>ÅMÅL</t>
        </is>
      </c>
      <c r="I64" t="n">
        <v>4.4</v>
      </c>
      <c r="J64" t="n">
        <v>0</v>
      </c>
      <c r="K64" t="n">
        <v>0</v>
      </c>
      <c r="L64" t="n">
        <v>0</v>
      </c>
      <c r="M64" t="n">
        <v>0</v>
      </c>
      <c r="N64" t="n">
        <v>0</v>
      </c>
      <c r="O64" t="n">
        <v>0</v>
      </c>
      <c r="P64" t="n">
        <v>0</v>
      </c>
      <c r="Q64" t="n">
        <v>0</v>
      </c>
      <c r="R64" t="n">
        <v>0</v>
      </c>
      <c r="S64" t="n">
        <v>0</v>
      </c>
      <c r="T64" t="n">
        <v>0</v>
      </c>
      <c r="U64" s="2" t="inlineStr"/>
    </row>
    <row r="65" ht="15" customHeight="1">
      <c r="A65" t="inlineStr">
        <is>
          <t>A 8089-2025</t>
        </is>
      </c>
      <c r="B65" t="inlineStr">
        <is>
          <t>avverkningsanmälan</t>
        </is>
      </c>
      <c r="C65" t="inlineStr">
        <is>
          <t>Föryngringsavverkning</t>
        </is>
      </c>
      <c r="D65" s="1" t="n">
        <v>45707</v>
      </c>
      <c r="E65" s="1" t="n">
        <v>46223</v>
      </c>
      <c r="F65" t="inlineStr">
        <is>
          <t>VÄSTRA GÖTALANDS LÄN</t>
        </is>
      </c>
      <c r="G65" t="inlineStr">
        <is>
          <t>ÅMÅL</t>
        </is>
      </c>
      <c r="I65" t="n">
        <v>1</v>
      </c>
      <c r="J65" t="n">
        <v>0</v>
      </c>
      <c r="K65" t="n">
        <v>0</v>
      </c>
      <c r="L65" t="n">
        <v>0</v>
      </c>
      <c r="M65" t="n">
        <v>0</v>
      </c>
      <c r="N65" t="n">
        <v>0</v>
      </c>
      <c r="O65" t="n">
        <v>0</v>
      </c>
      <c r="P65" t="n">
        <v>0</v>
      </c>
      <c r="Q65" t="n">
        <v>0</v>
      </c>
      <c r="R65" t="n">
        <v>0</v>
      </c>
      <c r="S65" t="n">
        <v>0</v>
      </c>
      <c r="T65" t="n">
        <v>0</v>
      </c>
      <c r="U65" s="2" t="inlineStr"/>
    </row>
    <row r="66" ht="15" customHeight="1">
      <c r="A66" t="inlineStr">
        <is>
          <t>A 23186-2024</t>
        </is>
      </c>
      <c r="B66" t="inlineStr">
        <is>
          <t>avverkningsanmälan</t>
        </is>
      </c>
      <c r="C66" t="inlineStr">
        <is>
          <t>Föryngringsavverkning</t>
        </is>
      </c>
      <c r="D66" s="1" t="n">
        <v>45450</v>
      </c>
      <c r="E66" s="1" t="n">
        <v>46223</v>
      </c>
      <c r="F66" t="inlineStr">
        <is>
          <t>VÄSTRA GÖTALANDS LÄN</t>
        </is>
      </c>
      <c r="G66" t="inlineStr">
        <is>
          <t>ÅMÅL</t>
        </is>
      </c>
      <c r="I66" t="n">
        <v>4.7</v>
      </c>
      <c r="J66" t="n">
        <v>0</v>
      </c>
      <c r="K66" t="n">
        <v>0</v>
      </c>
      <c r="L66" t="n">
        <v>0</v>
      </c>
      <c r="M66" t="n">
        <v>0</v>
      </c>
      <c r="N66" t="n">
        <v>0</v>
      </c>
      <c r="O66" t="n">
        <v>0</v>
      </c>
      <c r="P66" t="n">
        <v>0</v>
      </c>
      <c r="Q66" t="n">
        <v>0</v>
      </c>
      <c r="R66" t="n">
        <v>0</v>
      </c>
      <c r="S66" t="n">
        <v>0</v>
      </c>
      <c r="T66" t="n">
        <v>0</v>
      </c>
      <c r="U66" s="2" t="inlineStr"/>
    </row>
    <row r="67" ht="15" customHeight="1">
      <c r="A67" t="inlineStr">
        <is>
          <t>A 26911-2025</t>
        </is>
      </c>
      <c r="B67" t="inlineStr">
        <is>
          <t>avverkningsanmälan</t>
        </is>
      </c>
      <c r="C67" t="inlineStr">
        <is>
          <t>Föryngringsavverkning</t>
        </is>
      </c>
      <c r="D67" s="1" t="n">
        <v>45811</v>
      </c>
      <c r="E67" s="1" t="n">
        <v>46223</v>
      </c>
      <c r="F67" t="inlineStr">
        <is>
          <t>VÄSTRA GÖTALANDS LÄN</t>
        </is>
      </c>
      <c r="G67" t="inlineStr">
        <is>
          <t>ÅMÅL</t>
        </is>
      </c>
      <c r="I67" t="n">
        <v>3.5</v>
      </c>
      <c r="J67" t="n">
        <v>0</v>
      </c>
      <c r="K67" t="n">
        <v>0</v>
      </c>
      <c r="L67" t="n">
        <v>0</v>
      </c>
      <c r="M67" t="n">
        <v>0</v>
      </c>
      <c r="N67" t="n">
        <v>0</v>
      </c>
      <c r="O67" t="n">
        <v>0</v>
      </c>
      <c r="P67" t="n">
        <v>0</v>
      </c>
      <c r="Q67" t="n">
        <v>0</v>
      </c>
      <c r="R67" t="n">
        <v>0</v>
      </c>
      <c r="S67" t="n">
        <v>0</v>
      </c>
      <c r="T67" t="n">
        <v>0</v>
      </c>
      <c r="U67" s="2" t="inlineStr"/>
    </row>
    <row r="68" ht="15" customHeight="1">
      <c r="A68" t="inlineStr">
        <is>
          <t>A 26912-2025</t>
        </is>
      </c>
      <c r="B68" t="inlineStr">
        <is>
          <t>avverkningsanmälan</t>
        </is>
      </c>
      <c r="C68" t="inlineStr">
        <is>
          <t>Föryngringsavverkning</t>
        </is>
      </c>
      <c r="D68" s="1" t="n">
        <v>45811</v>
      </c>
      <c r="E68" s="1" t="n">
        <v>46223</v>
      </c>
      <c r="F68" t="inlineStr">
        <is>
          <t>VÄSTRA GÖTALANDS LÄN</t>
        </is>
      </c>
      <c r="G68" t="inlineStr">
        <is>
          <t>ÅMÅL</t>
        </is>
      </c>
      <c r="I68" t="n">
        <v>2.8</v>
      </c>
      <c r="J68" t="n">
        <v>0</v>
      </c>
      <c r="K68" t="n">
        <v>0</v>
      </c>
      <c r="L68" t="n">
        <v>0</v>
      </c>
      <c r="M68" t="n">
        <v>0</v>
      </c>
      <c r="N68" t="n">
        <v>0</v>
      </c>
      <c r="O68" t="n">
        <v>0</v>
      </c>
      <c r="P68" t="n">
        <v>0</v>
      </c>
      <c r="Q68" t="n">
        <v>0</v>
      </c>
      <c r="R68" t="n">
        <v>0</v>
      </c>
      <c r="S68" t="n">
        <v>0</v>
      </c>
      <c r="T68" t="n">
        <v>0</v>
      </c>
      <c r="U68" s="2" t="inlineStr"/>
    </row>
    <row r="69" ht="15" customHeight="1">
      <c r="A69" t="inlineStr">
        <is>
          <t>A 34417-2024</t>
        </is>
      </c>
      <c r="B69" t="inlineStr">
        <is>
          <t>avverkningsanmälan</t>
        </is>
      </c>
      <c r="C69" t="inlineStr">
        <is>
          <t>Föryngringsavverkning</t>
        </is>
      </c>
      <c r="D69" s="1" t="n">
        <v>45525</v>
      </c>
      <c r="E69" s="1" t="n">
        <v>46223</v>
      </c>
      <c r="F69" t="inlineStr">
        <is>
          <t>VÄSTRA GÖTALANDS LÄN</t>
        </is>
      </c>
      <c r="G69" t="inlineStr">
        <is>
          <t>ÅMÅL</t>
        </is>
      </c>
      <c r="I69" t="n">
        <v>5.8</v>
      </c>
      <c r="J69" t="n">
        <v>0</v>
      </c>
      <c r="K69" t="n">
        <v>0</v>
      </c>
      <c r="L69" t="n">
        <v>0</v>
      </c>
      <c r="M69" t="n">
        <v>0</v>
      </c>
      <c r="N69" t="n">
        <v>0</v>
      </c>
      <c r="O69" t="n">
        <v>0</v>
      </c>
      <c r="P69" t="n">
        <v>0</v>
      </c>
      <c r="Q69" t="n">
        <v>0</v>
      </c>
      <c r="R69" t="n">
        <v>0</v>
      </c>
      <c r="S69" t="n">
        <v>0</v>
      </c>
      <c r="T69" t="n">
        <v>0</v>
      </c>
      <c r="U69" s="2" t="inlineStr"/>
    </row>
    <row r="70" ht="15" customHeight="1">
      <c r="A70" t="inlineStr">
        <is>
          <t>A 26914-2025</t>
        </is>
      </c>
      <c r="B70" t="inlineStr">
        <is>
          <t>avverkningsanmälan</t>
        </is>
      </c>
      <c r="C70" t="inlineStr">
        <is>
          <t>Föryngringsavverkning</t>
        </is>
      </c>
      <c r="D70" s="1" t="n">
        <v>45811</v>
      </c>
      <c r="E70" s="1" t="n">
        <v>46223</v>
      </c>
      <c r="F70" t="inlineStr">
        <is>
          <t>VÄSTRA GÖTALANDS LÄN</t>
        </is>
      </c>
      <c r="G70" t="inlineStr">
        <is>
          <t>ÅMÅL</t>
        </is>
      </c>
      <c r="I70" t="n">
        <v>3.4</v>
      </c>
      <c r="J70" t="n">
        <v>0</v>
      </c>
      <c r="K70" t="n">
        <v>0</v>
      </c>
      <c r="L70" t="n">
        <v>0</v>
      </c>
      <c r="M70" t="n">
        <v>0</v>
      </c>
      <c r="N70" t="n">
        <v>0</v>
      </c>
      <c r="O70" t="n">
        <v>0</v>
      </c>
      <c r="P70" t="n">
        <v>0</v>
      </c>
      <c r="Q70" t="n">
        <v>0</v>
      </c>
      <c r="R70" t="n">
        <v>0</v>
      </c>
      <c r="S70" t="n">
        <v>0</v>
      </c>
      <c r="T70" t="n">
        <v>0</v>
      </c>
      <c r="U70" s="2" t="inlineStr"/>
    </row>
    <row r="71" ht="15" customHeight="1">
      <c r="A71" t="inlineStr">
        <is>
          <t>A 8176-2023</t>
        </is>
      </c>
      <c r="B71" t="inlineStr">
        <is>
          <t>avverkningsanmälan</t>
        </is>
      </c>
      <c r="C71" t="inlineStr">
        <is>
          <t>Föryngringsavverkning</t>
        </is>
      </c>
      <c r="D71" s="1" t="n">
        <v>44974</v>
      </c>
      <c r="E71" s="1" t="n">
        <v>46223</v>
      </c>
      <c r="F71" t="inlineStr">
        <is>
          <t>VÄSTRA GÖTALANDS LÄN</t>
        </is>
      </c>
      <c r="G71" t="inlineStr">
        <is>
          <t>ÅMÅL</t>
        </is>
      </c>
      <c r="I71" t="n">
        <v>0.8</v>
      </c>
      <c r="J71" t="n">
        <v>0</v>
      </c>
      <c r="K71" t="n">
        <v>0</v>
      </c>
      <c r="L71" t="n">
        <v>0</v>
      </c>
      <c r="M71" t="n">
        <v>0</v>
      </c>
      <c r="N71" t="n">
        <v>0</v>
      </c>
      <c r="O71" t="n">
        <v>0</v>
      </c>
      <c r="P71" t="n">
        <v>0</v>
      </c>
      <c r="Q71" t="n">
        <v>0</v>
      </c>
      <c r="R71" t="n">
        <v>0</v>
      </c>
      <c r="S71" t="n">
        <v>0</v>
      </c>
      <c r="T71" t="n">
        <v>0</v>
      </c>
      <c r="U71" s="2" t="inlineStr"/>
    </row>
    <row r="72" ht="15" customHeight="1">
      <c r="A72" t="inlineStr">
        <is>
          <t>A 40261-2024</t>
        </is>
      </c>
      <c r="B72" t="inlineStr">
        <is>
          <t>avverkningsanmälan</t>
        </is>
      </c>
      <c r="C72" t="inlineStr">
        <is>
          <t>Föryngringsavverkning</t>
        </is>
      </c>
      <c r="D72" s="1" t="n">
        <v>45554</v>
      </c>
      <c r="E72" s="1" t="n">
        <v>46223</v>
      </c>
      <c r="F72" t="inlineStr">
        <is>
          <t>VÄSTRA GÖTALANDS LÄN</t>
        </is>
      </c>
      <c r="G72" t="inlineStr">
        <is>
          <t>ÅMÅL</t>
        </is>
      </c>
      <c r="I72" t="n">
        <v>0.6</v>
      </c>
      <c r="J72" t="n">
        <v>0</v>
      </c>
      <c r="K72" t="n">
        <v>0</v>
      </c>
      <c r="L72" t="n">
        <v>0</v>
      </c>
      <c r="M72" t="n">
        <v>0</v>
      </c>
      <c r="N72" t="n">
        <v>0</v>
      </c>
      <c r="O72" t="n">
        <v>0</v>
      </c>
      <c r="P72" t="n">
        <v>0</v>
      </c>
      <c r="Q72" t="n">
        <v>0</v>
      </c>
      <c r="R72" t="n">
        <v>0</v>
      </c>
      <c r="S72" t="n">
        <v>0</v>
      </c>
      <c r="T72" t="n">
        <v>0</v>
      </c>
      <c r="U72" s="2" t="inlineStr"/>
    </row>
    <row r="73" ht="15" customHeight="1">
      <c r="A73" t="inlineStr">
        <is>
          <t>A 30990-2023</t>
        </is>
      </c>
      <c r="B73" t="inlineStr">
        <is>
          <t>avverkningsanmälan</t>
        </is>
      </c>
      <c r="C73" t="inlineStr">
        <is>
          <t>Föryngringsavverkning</t>
        </is>
      </c>
      <c r="D73" s="1" t="n">
        <v>45113</v>
      </c>
      <c r="E73" s="1" t="n">
        <v>46223</v>
      </c>
      <c r="F73" t="inlineStr">
        <is>
          <t>VÄSTRA GÖTALANDS LÄN</t>
        </is>
      </c>
      <c r="G73" t="inlineStr">
        <is>
          <t>ÅMÅL</t>
        </is>
      </c>
      <c r="I73" t="n">
        <v>4.4</v>
      </c>
      <c r="J73" t="n">
        <v>0</v>
      </c>
      <c r="K73" t="n">
        <v>0</v>
      </c>
      <c r="L73" t="n">
        <v>0</v>
      </c>
      <c r="M73" t="n">
        <v>0</v>
      </c>
      <c r="N73" t="n">
        <v>0</v>
      </c>
      <c r="O73" t="n">
        <v>0</v>
      </c>
      <c r="P73" t="n">
        <v>0</v>
      </c>
      <c r="Q73" t="n">
        <v>0</v>
      </c>
      <c r="R73" t="n">
        <v>0</v>
      </c>
      <c r="S73" t="n">
        <v>0</v>
      </c>
      <c r="T73" t="n">
        <v>0</v>
      </c>
      <c r="U73" s="2" t="inlineStr"/>
    </row>
    <row r="74" ht="15" customHeight="1">
      <c r="A74" t="inlineStr">
        <is>
          <t>A 28786-2025</t>
        </is>
      </c>
      <c r="B74" t="inlineStr">
        <is>
          <t>avverkningsanmälan</t>
        </is>
      </c>
      <c r="C74" t="inlineStr">
        <is>
          <t>Avverkning för annat ändamål</t>
        </is>
      </c>
      <c r="D74" s="1" t="n">
        <v>45820</v>
      </c>
      <c r="E74" s="1" t="n">
        <v>46223</v>
      </c>
      <c r="F74" t="inlineStr">
        <is>
          <t>VÄSTRA GÖTALANDS LÄN</t>
        </is>
      </c>
      <c r="G74" t="inlineStr">
        <is>
          <t>ÅMÅL</t>
        </is>
      </c>
      <c r="I74" t="n">
        <v>0.3</v>
      </c>
      <c r="J74" t="n">
        <v>0</v>
      </c>
      <c r="K74" t="n">
        <v>0</v>
      </c>
      <c r="L74" t="n">
        <v>0</v>
      </c>
      <c r="M74" t="n">
        <v>0</v>
      </c>
      <c r="N74" t="n">
        <v>0</v>
      </c>
      <c r="O74" t="n">
        <v>0</v>
      </c>
      <c r="P74" t="n">
        <v>0</v>
      </c>
      <c r="Q74" t="n">
        <v>0</v>
      </c>
      <c r="R74" t="n">
        <v>0</v>
      </c>
      <c r="S74" t="n">
        <v>0</v>
      </c>
      <c r="T74" t="n">
        <v>0</v>
      </c>
      <c r="U74" s="2" t="inlineStr"/>
    </row>
    <row r="75" ht="15" customHeight="1">
      <c r="A75" t="inlineStr">
        <is>
          <t>A 10837-2024</t>
        </is>
      </c>
      <c r="B75" t="inlineStr">
        <is>
          <t>avverkningsanmälan</t>
        </is>
      </c>
      <c r="C75" t="inlineStr">
        <is>
          <t>Föryngringsavverkning</t>
        </is>
      </c>
      <c r="D75" s="1" t="n">
        <v>45369</v>
      </c>
      <c r="E75" s="1" t="n">
        <v>46223</v>
      </c>
      <c r="F75" t="inlineStr">
        <is>
          <t>VÄSTRA GÖTALANDS LÄN</t>
        </is>
      </c>
      <c r="G75" t="inlineStr">
        <is>
          <t>ÅMÅL</t>
        </is>
      </c>
      <c r="I75" t="n">
        <v>9</v>
      </c>
      <c r="J75" t="n">
        <v>0</v>
      </c>
      <c r="K75" t="n">
        <v>0</v>
      </c>
      <c r="L75" t="n">
        <v>0</v>
      </c>
      <c r="M75" t="n">
        <v>0</v>
      </c>
      <c r="N75" t="n">
        <v>0</v>
      </c>
      <c r="O75" t="n">
        <v>0</v>
      </c>
      <c r="P75" t="n">
        <v>0</v>
      </c>
      <c r="Q75" t="n">
        <v>0</v>
      </c>
      <c r="R75" t="n">
        <v>0</v>
      </c>
      <c r="S75" t="n">
        <v>0</v>
      </c>
      <c r="T75" t="n">
        <v>0</v>
      </c>
      <c r="U75" s="2" t="inlineStr"/>
    </row>
    <row r="76" ht="15" customHeight="1">
      <c r="A76" t="inlineStr">
        <is>
          <t>A 28647-2025</t>
        </is>
      </c>
      <c r="B76" t="inlineStr">
        <is>
          <t>avverkningsanmälan</t>
        </is>
      </c>
      <c r="C76" t="inlineStr">
        <is>
          <t>Avverkning för annat ändamål</t>
        </is>
      </c>
      <c r="D76" s="1" t="n">
        <v>45819</v>
      </c>
      <c r="E76" s="1" t="n">
        <v>46223</v>
      </c>
      <c r="F76" t="inlineStr">
        <is>
          <t>VÄSTRA GÖTALANDS LÄN</t>
        </is>
      </c>
      <c r="G76" t="inlineStr">
        <is>
          <t>ÅMÅL</t>
        </is>
      </c>
      <c r="I76" t="n">
        <v>0.5</v>
      </c>
      <c r="J76" t="n">
        <v>0</v>
      </c>
      <c r="K76" t="n">
        <v>0</v>
      </c>
      <c r="L76" t="n">
        <v>0</v>
      </c>
      <c r="M76" t="n">
        <v>0</v>
      </c>
      <c r="N76" t="n">
        <v>0</v>
      </c>
      <c r="O76" t="n">
        <v>0</v>
      </c>
      <c r="P76" t="n">
        <v>0</v>
      </c>
      <c r="Q76" t="n">
        <v>0</v>
      </c>
      <c r="R76" t="n">
        <v>0</v>
      </c>
      <c r="S76" t="n">
        <v>0</v>
      </c>
      <c r="T76" t="n">
        <v>0</v>
      </c>
      <c r="U76" s="2" t="inlineStr"/>
    </row>
    <row r="77" ht="15" customHeight="1">
      <c r="A77" t="inlineStr">
        <is>
          <t>A 25693-2025</t>
        </is>
      </c>
      <c r="B77" t="inlineStr">
        <is>
          <t>avverkningsanmälan</t>
        </is>
      </c>
      <c r="C77" t="inlineStr">
        <is>
          <t>Föryngringsavverkning</t>
        </is>
      </c>
      <c r="D77" s="1" t="n">
        <v>45803</v>
      </c>
      <c r="E77" s="1" t="n">
        <v>46223</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s="2" t="inlineStr"/>
    </row>
    <row r="78" ht="15" customHeight="1">
      <c r="A78" t="inlineStr">
        <is>
          <t>A 38878-2025</t>
        </is>
      </c>
      <c r="B78" t="inlineStr">
        <is>
          <t>avverkningsanmälan</t>
        </is>
      </c>
      <c r="C78" t="inlineStr">
        <is>
          <t>Föryngringsavverkning</t>
        </is>
      </c>
      <c r="D78" s="1" t="n">
        <v>45884</v>
      </c>
      <c r="E78" s="1" t="n">
        <v>46223</v>
      </c>
      <c r="F78" t="inlineStr">
        <is>
          <t>VÄSTRA GÖTALANDS LÄN</t>
        </is>
      </c>
      <c r="G78" t="inlineStr">
        <is>
          <t>ÅMÅL</t>
        </is>
      </c>
      <c r="H78" t="inlineStr">
        <is>
          <t>Bergvik skog väst AB</t>
        </is>
      </c>
      <c r="I78" t="n">
        <v>7.5</v>
      </c>
      <c r="J78" t="n">
        <v>0</v>
      </c>
      <c r="K78" t="n">
        <v>0</v>
      </c>
      <c r="L78" t="n">
        <v>0</v>
      </c>
      <c r="M78" t="n">
        <v>0</v>
      </c>
      <c r="N78" t="n">
        <v>0</v>
      </c>
      <c r="O78" t="n">
        <v>0</v>
      </c>
      <c r="P78" t="n">
        <v>0</v>
      </c>
      <c r="Q78" t="n">
        <v>0</v>
      </c>
      <c r="R78" t="n">
        <v>0</v>
      </c>
      <c r="S78" t="n">
        <v>0</v>
      </c>
      <c r="T78" t="n">
        <v>0</v>
      </c>
      <c r="U78" s="2" t="inlineStr"/>
    </row>
    <row r="79" ht="15" customHeight="1">
      <c r="A79" t="inlineStr">
        <is>
          <t>A 40043-2025</t>
        </is>
      </c>
      <c r="B79" t="inlineStr">
        <is>
          <t>avverkningsanmälan</t>
        </is>
      </c>
      <c r="C79" t="inlineStr">
        <is>
          <t>Föryngringsavverkning</t>
        </is>
      </c>
      <c r="D79" s="1" t="n">
        <v>45893</v>
      </c>
      <c r="E79" s="1" t="n">
        <v>46223</v>
      </c>
      <c r="F79" t="inlineStr">
        <is>
          <t>VÄSTRA GÖTALANDS LÄN</t>
        </is>
      </c>
      <c r="G79" t="inlineStr">
        <is>
          <t>ÅMÅL</t>
        </is>
      </c>
      <c r="I79" t="n">
        <v>3.4</v>
      </c>
      <c r="J79" t="n">
        <v>0</v>
      </c>
      <c r="K79" t="n">
        <v>0</v>
      </c>
      <c r="L79" t="n">
        <v>0</v>
      </c>
      <c r="M79" t="n">
        <v>0</v>
      </c>
      <c r="N79" t="n">
        <v>0</v>
      </c>
      <c r="O79" t="n">
        <v>0</v>
      </c>
      <c r="P79" t="n">
        <v>0</v>
      </c>
      <c r="Q79" t="n">
        <v>0</v>
      </c>
      <c r="R79" t="n">
        <v>0</v>
      </c>
      <c r="S79" t="n">
        <v>0</v>
      </c>
      <c r="T79" t="n">
        <v>0</v>
      </c>
      <c r="U79" s="2" t="inlineStr"/>
    </row>
    <row r="80" ht="15" customHeight="1">
      <c r="A80" t="inlineStr">
        <is>
          <t>A 30054-2025</t>
        </is>
      </c>
      <c r="B80" t="inlineStr">
        <is>
          <t>avverkningsanmälan</t>
        </is>
      </c>
      <c r="C80" t="inlineStr">
        <is>
          <t>Föryngringsavverkning</t>
        </is>
      </c>
      <c r="D80" s="1" t="n">
        <v>45826</v>
      </c>
      <c r="E80" s="1" t="n">
        <v>46223</v>
      </c>
      <c r="F80" t="inlineStr">
        <is>
          <t>VÄSTRA GÖTALANDS LÄN</t>
        </is>
      </c>
      <c r="G80" t="inlineStr">
        <is>
          <t>ÅMÅL</t>
        </is>
      </c>
      <c r="I80" t="n">
        <v>4.3</v>
      </c>
      <c r="J80" t="n">
        <v>0</v>
      </c>
      <c r="K80" t="n">
        <v>0</v>
      </c>
      <c r="L80" t="n">
        <v>0</v>
      </c>
      <c r="M80" t="n">
        <v>0</v>
      </c>
      <c r="N80" t="n">
        <v>0</v>
      </c>
      <c r="O80" t="n">
        <v>0</v>
      </c>
      <c r="P80" t="n">
        <v>0</v>
      </c>
      <c r="Q80" t="n">
        <v>0</v>
      </c>
      <c r="R80" t="n">
        <v>0</v>
      </c>
      <c r="S80" t="n">
        <v>0</v>
      </c>
      <c r="T80" t="n">
        <v>0</v>
      </c>
      <c r="U80" s="2" t="inlineStr"/>
    </row>
    <row r="81" ht="15" customHeight="1">
      <c r="A81" t="inlineStr">
        <is>
          <t>A 335-2025</t>
        </is>
      </c>
      <c r="B81" t="inlineStr">
        <is>
          <t>avverkningsanmälan</t>
        </is>
      </c>
      <c r="C81" t="inlineStr">
        <is>
          <t>Föryngringsavverkning</t>
        </is>
      </c>
      <c r="D81" s="1" t="n">
        <v>45660</v>
      </c>
      <c r="E81" s="1" t="n">
        <v>46223</v>
      </c>
      <c r="F81" t="inlineStr">
        <is>
          <t>VÄSTRA GÖTALANDS LÄN</t>
        </is>
      </c>
      <c r="G81" t="inlineStr">
        <is>
          <t>ÅMÅL</t>
        </is>
      </c>
      <c r="I81" t="n">
        <v>1.4</v>
      </c>
      <c r="J81" t="n">
        <v>0</v>
      </c>
      <c r="K81" t="n">
        <v>0</v>
      </c>
      <c r="L81" t="n">
        <v>0</v>
      </c>
      <c r="M81" t="n">
        <v>0</v>
      </c>
      <c r="N81" t="n">
        <v>0</v>
      </c>
      <c r="O81" t="n">
        <v>0</v>
      </c>
      <c r="P81" t="n">
        <v>0</v>
      </c>
      <c r="Q81" t="n">
        <v>0</v>
      </c>
      <c r="R81" t="n">
        <v>0</v>
      </c>
      <c r="S81" t="n">
        <v>0</v>
      </c>
      <c r="T81" t="n">
        <v>0</v>
      </c>
      <c r="U81" s="2" t="inlineStr"/>
    </row>
    <row r="82" ht="15" customHeight="1">
      <c r="A82" t="inlineStr">
        <is>
          <t>A 47699-2024</t>
        </is>
      </c>
      <c r="B82" t="inlineStr">
        <is>
          <t>avverkningsanmälan</t>
        </is>
      </c>
      <c r="C82" t="inlineStr">
        <is>
          <t>Föryngringsavverkning</t>
        </is>
      </c>
      <c r="D82" s="1" t="n">
        <v>45588</v>
      </c>
      <c r="E82" s="1" t="n">
        <v>46223</v>
      </c>
      <c r="F82" t="inlineStr">
        <is>
          <t>VÄSTRA GÖTALANDS LÄN</t>
        </is>
      </c>
      <c r="G82" t="inlineStr">
        <is>
          <t>ÅMÅL</t>
        </is>
      </c>
      <c r="I82" t="n">
        <v>2.9</v>
      </c>
      <c r="J82" t="n">
        <v>0</v>
      </c>
      <c r="K82" t="n">
        <v>0</v>
      </c>
      <c r="L82" t="n">
        <v>0</v>
      </c>
      <c r="M82" t="n">
        <v>0</v>
      </c>
      <c r="N82" t="n">
        <v>0</v>
      </c>
      <c r="O82" t="n">
        <v>0</v>
      </c>
      <c r="P82" t="n">
        <v>0</v>
      </c>
      <c r="Q82" t="n">
        <v>0</v>
      </c>
      <c r="R82" t="n">
        <v>0</v>
      </c>
      <c r="S82" t="n">
        <v>0</v>
      </c>
      <c r="T82" t="n">
        <v>0</v>
      </c>
      <c r="U82" s="2" t="inlineStr"/>
    </row>
    <row r="83" ht="15" customHeight="1">
      <c r="A83" t="inlineStr">
        <is>
          <t>A 54877-2023</t>
        </is>
      </c>
      <c r="B83" t="inlineStr">
        <is>
          <t>avverkningsanmälan</t>
        </is>
      </c>
      <c r="C83" t="inlineStr">
        <is>
          <t>Föryngringsavverkning</t>
        </is>
      </c>
      <c r="D83" s="1" t="n">
        <v>45229</v>
      </c>
      <c r="E83" s="1" t="n">
        <v>46223</v>
      </c>
      <c r="F83" t="inlineStr">
        <is>
          <t>VÄSTRA GÖTALANDS LÄN</t>
        </is>
      </c>
      <c r="G83" t="inlineStr">
        <is>
          <t>ÅMÅL</t>
        </is>
      </c>
      <c r="I83" t="n">
        <v>9</v>
      </c>
      <c r="J83" t="n">
        <v>0</v>
      </c>
      <c r="K83" t="n">
        <v>0</v>
      </c>
      <c r="L83" t="n">
        <v>0</v>
      </c>
      <c r="M83" t="n">
        <v>0</v>
      </c>
      <c r="N83" t="n">
        <v>0</v>
      </c>
      <c r="O83" t="n">
        <v>0</v>
      </c>
      <c r="P83" t="n">
        <v>0</v>
      </c>
      <c r="Q83" t="n">
        <v>0</v>
      </c>
      <c r="R83" t="n">
        <v>0</v>
      </c>
      <c r="S83" t="n">
        <v>0</v>
      </c>
      <c r="T83" t="n">
        <v>0</v>
      </c>
      <c r="U83" s="2" t="inlineStr"/>
    </row>
    <row r="84" ht="15" customHeight="1">
      <c r="A84" t="inlineStr">
        <is>
          <t>A 42098-2025</t>
        </is>
      </c>
      <c r="B84" t="inlineStr">
        <is>
          <t>avverkningsanmälan</t>
        </is>
      </c>
      <c r="C84" t="inlineStr">
        <is>
          <t>Avverkning för annat ändamål</t>
        </is>
      </c>
      <c r="D84" s="1" t="n">
        <v>45903</v>
      </c>
      <c r="E84" s="1" t="n">
        <v>46223</v>
      </c>
      <c r="F84" t="inlineStr">
        <is>
          <t>VÄSTRA GÖTALANDS LÄN</t>
        </is>
      </c>
      <c r="G84" t="inlineStr">
        <is>
          <t>ÅMÅL</t>
        </is>
      </c>
      <c r="H84" t="inlineStr">
        <is>
          <t>Kommuner</t>
        </is>
      </c>
      <c r="I84" t="n">
        <v>0.3</v>
      </c>
      <c r="J84" t="n">
        <v>0</v>
      </c>
      <c r="K84" t="n">
        <v>0</v>
      </c>
      <c r="L84" t="n">
        <v>0</v>
      </c>
      <c r="M84" t="n">
        <v>0</v>
      </c>
      <c r="N84" t="n">
        <v>0</v>
      </c>
      <c r="O84" t="n">
        <v>0</v>
      </c>
      <c r="P84" t="n">
        <v>0</v>
      </c>
      <c r="Q84" t="n">
        <v>0</v>
      </c>
      <c r="R84" t="n">
        <v>0</v>
      </c>
      <c r="S84" t="n">
        <v>0</v>
      </c>
      <c r="T84" t="n">
        <v>0</v>
      </c>
      <c r="U84" s="2" t="inlineStr"/>
    </row>
    <row r="85" ht="15" customHeight="1">
      <c r="A85" t="inlineStr">
        <is>
          <t>A 47697-2024</t>
        </is>
      </c>
      <c r="B85" t="inlineStr">
        <is>
          <t>avverkningsanmälan</t>
        </is>
      </c>
      <c r="C85" t="inlineStr">
        <is>
          <t>Föryngringsavverkning</t>
        </is>
      </c>
      <c r="D85" s="1" t="n">
        <v>45588</v>
      </c>
      <c r="E85" s="1" t="n">
        <v>46223</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s="2" t="inlineStr"/>
    </row>
    <row r="86" ht="15" customHeight="1">
      <c r="A86" t="inlineStr">
        <is>
          <t>A 57305-2024</t>
        </is>
      </c>
      <c r="B86" t="inlineStr">
        <is>
          <t>avverkningsanmälan</t>
        </is>
      </c>
      <c r="C86" t="inlineStr">
        <is>
          <t>Föryngringsavverkning</t>
        </is>
      </c>
      <c r="D86" s="1" t="n">
        <v>45629</v>
      </c>
      <c r="E86" s="1" t="n">
        <v>46223</v>
      </c>
      <c r="F86" t="inlineStr">
        <is>
          <t>VÄSTRA GÖTALANDS LÄN</t>
        </is>
      </c>
      <c r="G86" t="inlineStr">
        <is>
          <t>ÅMÅL</t>
        </is>
      </c>
      <c r="I86" t="n">
        <v>1.8</v>
      </c>
      <c r="J86" t="n">
        <v>0</v>
      </c>
      <c r="K86" t="n">
        <v>0</v>
      </c>
      <c r="L86" t="n">
        <v>0</v>
      </c>
      <c r="M86" t="n">
        <v>0</v>
      </c>
      <c r="N86" t="n">
        <v>0</v>
      </c>
      <c r="O86" t="n">
        <v>0</v>
      </c>
      <c r="P86" t="n">
        <v>0</v>
      </c>
      <c r="Q86" t="n">
        <v>0</v>
      </c>
      <c r="R86" t="n">
        <v>0</v>
      </c>
      <c r="S86" t="n">
        <v>0</v>
      </c>
      <c r="T86" t="n">
        <v>0</v>
      </c>
      <c r="U86" s="2" t="inlineStr"/>
    </row>
    <row r="87" ht="15" customHeight="1">
      <c r="A87" t="inlineStr">
        <is>
          <t>A 43343-2025</t>
        </is>
      </c>
      <c r="B87" t="inlineStr">
        <is>
          <t>avverkningsanmälan</t>
        </is>
      </c>
      <c r="C87" t="inlineStr">
        <is>
          <t>Föryngringsavverkning</t>
        </is>
      </c>
      <c r="D87" s="1" t="n">
        <v>45910</v>
      </c>
      <c r="E87" s="1" t="n">
        <v>46223</v>
      </c>
      <c r="F87" t="inlineStr">
        <is>
          <t>VÄSTRA GÖTALANDS LÄN</t>
        </is>
      </c>
      <c r="G87" t="inlineStr">
        <is>
          <t>ÅMÅL</t>
        </is>
      </c>
      <c r="I87" t="n">
        <v>0.6</v>
      </c>
      <c r="J87" t="n">
        <v>0</v>
      </c>
      <c r="K87" t="n">
        <v>0</v>
      </c>
      <c r="L87" t="n">
        <v>0</v>
      </c>
      <c r="M87" t="n">
        <v>0</v>
      </c>
      <c r="N87" t="n">
        <v>0</v>
      </c>
      <c r="O87" t="n">
        <v>0</v>
      </c>
      <c r="P87" t="n">
        <v>0</v>
      </c>
      <c r="Q87" t="n">
        <v>0</v>
      </c>
      <c r="R87" t="n">
        <v>0</v>
      </c>
      <c r="S87" t="n">
        <v>0</v>
      </c>
      <c r="T87" t="n">
        <v>0</v>
      </c>
      <c r="U87" s="2" t="inlineStr"/>
    </row>
    <row r="88" ht="15" customHeight="1">
      <c r="A88" t="inlineStr">
        <is>
          <t>A 42026-2025</t>
        </is>
      </c>
      <c r="B88" t="inlineStr">
        <is>
          <t>avverkningsanmälan</t>
        </is>
      </c>
      <c r="C88" t="inlineStr">
        <is>
          <t>Avverkning för annat ändamål</t>
        </is>
      </c>
      <c r="D88" s="1" t="n">
        <v>45903</v>
      </c>
      <c r="E88" s="1" t="n">
        <v>46223</v>
      </c>
      <c r="F88" t="inlineStr">
        <is>
          <t>VÄSTRA GÖTALANDS LÄN</t>
        </is>
      </c>
      <c r="G88" t="inlineStr">
        <is>
          <t>ÅMÅL</t>
        </is>
      </c>
      <c r="I88" t="n">
        <v>7.8</v>
      </c>
      <c r="J88" t="n">
        <v>0</v>
      </c>
      <c r="K88" t="n">
        <v>0</v>
      </c>
      <c r="L88" t="n">
        <v>0</v>
      </c>
      <c r="M88" t="n">
        <v>0</v>
      </c>
      <c r="N88" t="n">
        <v>0</v>
      </c>
      <c r="O88" t="n">
        <v>0</v>
      </c>
      <c r="P88" t="n">
        <v>0</v>
      </c>
      <c r="Q88" t="n">
        <v>0</v>
      </c>
      <c r="R88" t="n">
        <v>0</v>
      </c>
      <c r="S88" t="n">
        <v>0</v>
      </c>
      <c r="T88" t="n">
        <v>0</v>
      </c>
      <c r="U88" s="2" t="inlineStr"/>
    </row>
    <row r="89" ht="15" customHeight="1">
      <c r="A89" t="inlineStr">
        <is>
          <t>A 44046-2025</t>
        </is>
      </c>
      <c r="B89" t="inlineStr">
        <is>
          <t>avverkningsanmälan</t>
        </is>
      </c>
      <c r="C89" t="inlineStr">
        <is>
          <t>Föryngringsavverkning</t>
        </is>
      </c>
      <c r="D89" s="1" t="n">
        <v>45915</v>
      </c>
      <c r="E89" s="1" t="n">
        <v>46223</v>
      </c>
      <c r="F89" t="inlineStr">
        <is>
          <t>VÄSTRA GÖTALANDS LÄN</t>
        </is>
      </c>
      <c r="G89" t="inlineStr">
        <is>
          <t>ÅMÅL</t>
        </is>
      </c>
      <c r="I89" t="n">
        <v>1.3</v>
      </c>
      <c r="J89" t="n">
        <v>0</v>
      </c>
      <c r="K89" t="n">
        <v>0</v>
      </c>
      <c r="L89" t="n">
        <v>0</v>
      </c>
      <c r="M89" t="n">
        <v>0</v>
      </c>
      <c r="N89" t="n">
        <v>0</v>
      </c>
      <c r="O89" t="n">
        <v>0</v>
      </c>
      <c r="P89" t="n">
        <v>0</v>
      </c>
      <c r="Q89" t="n">
        <v>0</v>
      </c>
      <c r="R89" t="n">
        <v>0</v>
      </c>
      <c r="S89" t="n">
        <v>0</v>
      </c>
      <c r="T89" t="n">
        <v>0</v>
      </c>
      <c r="U89" s="2" t="inlineStr"/>
    </row>
    <row r="90" ht="15" customHeight="1">
      <c r="A90" t="inlineStr">
        <is>
          <t>A 12322-2023</t>
        </is>
      </c>
      <c r="B90" t="inlineStr">
        <is>
          <t>avverkningsanmälan</t>
        </is>
      </c>
      <c r="C90" t="inlineStr">
        <is>
          <t>Föryngringsavverkning</t>
        </is>
      </c>
      <c r="D90" s="1" t="n">
        <v>44999</v>
      </c>
      <c r="E90" s="1" t="n">
        <v>46223</v>
      </c>
      <c r="F90" t="inlineStr">
        <is>
          <t>VÄSTRA GÖTALANDS LÄN</t>
        </is>
      </c>
      <c r="G90" t="inlineStr">
        <is>
          <t>ÅMÅL</t>
        </is>
      </c>
      <c r="I90" t="n">
        <v>5.2</v>
      </c>
      <c r="J90" t="n">
        <v>0</v>
      </c>
      <c r="K90" t="n">
        <v>0</v>
      </c>
      <c r="L90" t="n">
        <v>0</v>
      </c>
      <c r="M90" t="n">
        <v>0</v>
      </c>
      <c r="N90" t="n">
        <v>0</v>
      </c>
      <c r="O90" t="n">
        <v>0</v>
      </c>
      <c r="P90" t="n">
        <v>0</v>
      </c>
      <c r="Q90" t="n">
        <v>0</v>
      </c>
      <c r="R90" t="n">
        <v>0</v>
      </c>
      <c r="S90" t="n">
        <v>0</v>
      </c>
      <c r="T90" t="n">
        <v>0</v>
      </c>
      <c r="U90" s="2" t="inlineStr"/>
    </row>
    <row r="91" ht="15" customHeight="1">
      <c r="A91" t="inlineStr">
        <is>
          <t>A 30980-2023</t>
        </is>
      </c>
      <c r="B91" t="inlineStr">
        <is>
          <t>avverkningsanmälan</t>
        </is>
      </c>
      <c r="C91" t="inlineStr">
        <is>
          <t>Föryngringsavverkning</t>
        </is>
      </c>
      <c r="D91" s="1" t="n">
        <v>45113</v>
      </c>
      <c r="E91" s="1" t="n">
        <v>46223</v>
      </c>
      <c r="F91" t="inlineStr">
        <is>
          <t>VÄSTRA GÖTALANDS LÄN</t>
        </is>
      </c>
      <c r="G91" t="inlineStr">
        <is>
          <t>ÅMÅL</t>
        </is>
      </c>
      <c r="I91" t="n">
        <v>1.5</v>
      </c>
      <c r="J91" t="n">
        <v>0</v>
      </c>
      <c r="K91" t="n">
        <v>0</v>
      </c>
      <c r="L91" t="n">
        <v>0</v>
      </c>
      <c r="M91" t="n">
        <v>0</v>
      </c>
      <c r="N91" t="n">
        <v>0</v>
      </c>
      <c r="O91" t="n">
        <v>0</v>
      </c>
      <c r="P91" t="n">
        <v>0</v>
      </c>
      <c r="Q91" t="n">
        <v>0</v>
      </c>
      <c r="R91" t="n">
        <v>0</v>
      </c>
      <c r="S91" t="n">
        <v>0</v>
      </c>
      <c r="T91" t="n">
        <v>0</v>
      </c>
      <c r="U91" s="2" t="inlineStr"/>
    </row>
    <row r="92" ht="15" customHeight="1">
      <c r="A92" t="inlineStr">
        <is>
          <t>A 60382-2021</t>
        </is>
      </c>
      <c r="B92" t="inlineStr">
        <is>
          <t>avverkningsanmälan</t>
        </is>
      </c>
      <c r="C92" t="inlineStr">
        <is>
          <t>Föryngringsavverkning</t>
        </is>
      </c>
      <c r="D92" s="1" t="n">
        <v>44496</v>
      </c>
      <c r="E92" s="1" t="n">
        <v>46223</v>
      </c>
      <c r="F92" t="inlineStr">
        <is>
          <t>VÄSTRA GÖTALANDS LÄN</t>
        </is>
      </c>
      <c r="G92" t="inlineStr">
        <is>
          <t>ÅMÅL</t>
        </is>
      </c>
      <c r="I92" t="n">
        <v>6.5</v>
      </c>
      <c r="J92" t="n">
        <v>0</v>
      </c>
      <c r="K92" t="n">
        <v>0</v>
      </c>
      <c r="L92" t="n">
        <v>0</v>
      </c>
      <c r="M92" t="n">
        <v>0</v>
      </c>
      <c r="N92" t="n">
        <v>0</v>
      </c>
      <c r="O92" t="n">
        <v>0</v>
      </c>
      <c r="P92" t="n">
        <v>0</v>
      </c>
      <c r="Q92" t="n">
        <v>0</v>
      </c>
      <c r="R92" t="n">
        <v>0</v>
      </c>
      <c r="S92" t="n">
        <v>0</v>
      </c>
      <c r="T92" t="n">
        <v>0</v>
      </c>
      <c r="U92" s="2" t="inlineStr"/>
    </row>
    <row r="93" ht="15" customHeight="1">
      <c r="A93" t="inlineStr">
        <is>
          <t>A 24424-2023</t>
        </is>
      </c>
      <c r="B93" t="inlineStr">
        <is>
          <t>avverkningsanmälan</t>
        </is>
      </c>
      <c r="C93" t="inlineStr">
        <is>
          <t>Föryngringsavverkning</t>
        </is>
      </c>
      <c r="D93" s="1" t="n">
        <v>45082</v>
      </c>
      <c r="E93" s="1" t="n">
        <v>46223</v>
      </c>
      <c r="F93" t="inlineStr">
        <is>
          <t>VÄSTRA GÖTALANDS LÄN</t>
        </is>
      </c>
      <c r="G93" t="inlineStr">
        <is>
          <t>ÅMÅL</t>
        </is>
      </c>
      <c r="I93" t="n">
        <v>2.9</v>
      </c>
      <c r="J93" t="n">
        <v>0</v>
      </c>
      <c r="K93" t="n">
        <v>0</v>
      </c>
      <c r="L93" t="n">
        <v>0</v>
      </c>
      <c r="M93" t="n">
        <v>0</v>
      </c>
      <c r="N93" t="n">
        <v>0</v>
      </c>
      <c r="O93" t="n">
        <v>0</v>
      </c>
      <c r="P93" t="n">
        <v>0</v>
      </c>
      <c r="Q93" t="n">
        <v>0</v>
      </c>
      <c r="R93" t="n">
        <v>0</v>
      </c>
      <c r="S93" t="n">
        <v>0</v>
      </c>
      <c r="T93" t="n">
        <v>0</v>
      </c>
      <c r="U93" s="2" t="inlineStr"/>
    </row>
    <row r="94" ht="15" customHeight="1">
      <c r="A94" t="inlineStr">
        <is>
          <t>A 46312-2025</t>
        </is>
      </c>
      <c r="B94" t="inlineStr">
        <is>
          <t>avverkningsanmälan</t>
        </is>
      </c>
      <c r="C94" t="inlineStr">
        <is>
          <t>Föryngringsavverkning</t>
        </is>
      </c>
      <c r="D94" s="1" t="n">
        <v>45925</v>
      </c>
      <c r="E94" s="1" t="n">
        <v>46223</v>
      </c>
      <c r="F94" t="inlineStr">
        <is>
          <t>VÄSTRA GÖTALANDS LÄN</t>
        </is>
      </c>
      <c r="G94" t="inlineStr">
        <is>
          <t>ÅMÅL</t>
        </is>
      </c>
      <c r="H94" t="inlineStr">
        <is>
          <t>Bergvik skog väst AB</t>
        </is>
      </c>
      <c r="I94" t="n">
        <v>9.199999999999999</v>
      </c>
      <c r="J94" t="n">
        <v>0</v>
      </c>
      <c r="K94" t="n">
        <v>0</v>
      </c>
      <c r="L94" t="n">
        <v>0</v>
      </c>
      <c r="M94" t="n">
        <v>0</v>
      </c>
      <c r="N94" t="n">
        <v>0</v>
      </c>
      <c r="O94" t="n">
        <v>0</v>
      </c>
      <c r="P94" t="n">
        <v>0</v>
      </c>
      <c r="Q94" t="n">
        <v>0</v>
      </c>
      <c r="R94" t="n">
        <v>0</v>
      </c>
      <c r="S94" t="n">
        <v>0</v>
      </c>
      <c r="T94" t="n">
        <v>0</v>
      </c>
      <c r="U94" s="2" t="inlineStr"/>
    </row>
    <row r="95" ht="15" customHeight="1">
      <c r="A95" t="inlineStr">
        <is>
          <t>A 48085-2025</t>
        </is>
      </c>
      <c r="B95" t="inlineStr">
        <is>
          <t>avverkningsanmälan</t>
        </is>
      </c>
      <c r="C95" t="inlineStr">
        <is>
          <t>Föryngringsavverkning</t>
        </is>
      </c>
      <c r="D95" s="1" t="n">
        <v>45932</v>
      </c>
      <c r="E95" s="1" t="n">
        <v>46223</v>
      </c>
      <c r="F95" t="inlineStr">
        <is>
          <t>VÄSTRA GÖTALANDS LÄN</t>
        </is>
      </c>
      <c r="G95" t="inlineStr">
        <is>
          <t>ÅMÅL</t>
        </is>
      </c>
      <c r="I95" t="n">
        <v>1.6</v>
      </c>
      <c r="J95" t="n">
        <v>0</v>
      </c>
      <c r="K95" t="n">
        <v>0</v>
      </c>
      <c r="L95" t="n">
        <v>0</v>
      </c>
      <c r="M95" t="n">
        <v>0</v>
      </c>
      <c r="N95" t="n">
        <v>0</v>
      </c>
      <c r="O95" t="n">
        <v>0</v>
      </c>
      <c r="P95" t="n">
        <v>0</v>
      </c>
      <c r="Q95" t="n">
        <v>0</v>
      </c>
      <c r="R95" t="n">
        <v>0</v>
      </c>
      <c r="S95" t="n">
        <v>0</v>
      </c>
      <c r="T95" t="n">
        <v>0</v>
      </c>
      <c r="U95" s="2" t="inlineStr"/>
    </row>
    <row r="96" ht="15" customHeight="1">
      <c r="A96" t="inlineStr">
        <is>
          <t>A 52384-2024</t>
        </is>
      </c>
      <c r="B96" t="inlineStr">
        <is>
          <t>avverkningsanmälan</t>
        </is>
      </c>
      <c r="C96" t="inlineStr">
        <is>
          <t>Föryngringsavverkning</t>
        </is>
      </c>
      <c r="D96" s="1" t="n">
        <v>45609</v>
      </c>
      <c r="E96" s="1" t="n">
        <v>46223</v>
      </c>
      <c r="F96" t="inlineStr">
        <is>
          <t>VÄSTRA GÖTALANDS LÄN</t>
        </is>
      </c>
      <c r="G96" t="inlineStr">
        <is>
          <t>ÅMÅL</t>
        </is>
      </c>
      <c r="I96" t="n">
        <v>3</v>
      </c>
      <c r="J96" t="n">
        <v>0</v>
      </c>
      <c r="K96" t="n">
        <v>0</v>
      </c>
      <c r="L96" t="n">
        <v>0</v>
      </c>
      <c r="M96" t="n">
        <v>0</v>
      </c>
      <c r="N96" t="n">
        <v>0</v>
      </c>
      <c r="O96" t="n">
        <v>0</v>
      </c>
      <c r="P96" t="n">
        <v>0</v>
      </c>
      <c r="Q96" t="n">
        <v>0</v>
      </c>
      <c r="R96" t="n">
        <v>0</v>
      </c>
      <c r="S96" t="n">
        <v>0</v>
      </c>
      <c r="T96" t="n">
        <v>0</v>
      </c>
      <c r="U96" s="2" t="inlineStr"/>
    </row>
    <row r="97" ht="15" customHeight="1">
      <c r="A97" t="inlineStr">
        <is>
          <t>A 18529-2023</t>
        </is>
      </c>
      <c r="B97" t="inlineStr">
        <is>
          <t>avverkningsanmälan</t>
        </is>
      </c>
      <c r="C97" t="inlineStr">
        <is>
          <t>Föryngringsavverkning</t>
        </is>
      </c>
      <c r="D97" s="1" t="n">
        <v>45042</v>
      </c>
      <c r="E97" s="1" t="n">
        <v>46223</v>
      </c>
      <c r="F97" t="inlineStr">
        <is>
          <t>VÄSTRA GÖTALANDS LÄN</t>
        </is>
      </c>
      <c r="G97" t="inlineStr">
        <is>
          <t>ÅMÅL</t>
        </is>
      </c>
      <c r="I97" t="n">
        <v>2</v>
      </c>
      <c r="J97" t="n">
        <v>0</v>
      </c>
      <c r="K97" t="n">
        <v>0</v>
      </c>
      <c r="L97" t="n">
        <v>0</v>
      </c>
      <c r="M97" t="n">
        <v>0</v>
      </c>
      <c r="N97" t="n">
        <v>0</v>
      </c>
      <c r="O97" t="n">
        <v>0</v>
      </c>
      <c r="P97" t="n">
        <v>0</v>
      </c>
      <c r="Q97" t="n">
        <v>0</v>
      </c>
      <c r="R97" t="n">
        <v>0</v>
      </c>
      <c r="S97" t="n">
        <v>0</v>
      </c>
      <c r="T97" t="n">
        <v>0</v>
      </c>
      <c r="U97" s="2" t="inlineStr"/>
    </row>
    <row r="98" ht="15" customHeight="1">
      <c r="A98" t="inlineStr">
        <is>
          <t>A 21425-2025</t>
        </is>
      </c>
      <c r="B98" t="inlineStr">
        <is>
          <t>avverkningsanmälan</t>
        </is>
      </c>
      <c r="C98" t="inlineStr">
        <is>
          <t>Föryngringsavverkning</t>
        </is>
      </c>
      <c r="D98" s="1" t="n">
        <v>45782</v>
      </c>
      <c r="E98" s="1" t="n">
        <v>46223</v>
      </c>
      <c r="F98" t="inlineStr">
        <is>
          <t>VÄSTRA GÖTALANDS LÄN</t>
        </is>
      </c>
      <c r="G98" t="inlineStr">
        <is>
          <t>ÅMÅL</t>
        </is>
      </c>
      <c r="I98" t="n">
        <v>0.9</v>
      </c>
      <c r="J98" t="n">
        <v>0</v>
      </c>
      <c r="K98" t="n">
        <v>0</v>
      </c>
      <c r="L98" t="n">
        <v>0</v>
      </c>
      <c r="M98" t="n">
        <v>0</v>
      </c>
      <c r="N98" t="n">
        <v>0</v>
      </c>
      <c r="O98" t="n">
        <v>0</v>
      </c>
      <c r="P98" t="n">
        <v>0</v>
      </c>
      <c r="Q98" t="n">
        <v>0</v>
      </c>
      <c r="R98" t="n">
        <v>0</v>
      </c>
      <c r="S98" t="n">
        <v>0</v>
      </c>
      <c r="T98" t="n">
        <v>0</v>
      </c>
      <c r="U98" s="2" t="inlineStr"/>
    </row>
    <row r="99" ht="15" customHeight="1">
      <c r="A99" t="inlineStr">
        <is>
          <t>A 62705-2023</t>
        </is>
      </c>
      <c r="B99" t="inlineStr">
        <is>
          <t>avverkningsanmälan</t>
        </is>
      </c>
      <c r="C99" t="inlineStr">
        <is>
          <t>Föryngringsavverkning</t>
        </is>
      </c>
      <c r="D99" s="1" t="n">
        <v>45271</v>
      </c>
      <c r="E99" s="1" t="n">
        <v>46223</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s="2" t="inlineStr"/>
    </row>
    <row r="100" ht="15" customHeight="1">
      <c r="A100" t="inlineStr">
        <is>
          <t>A 15463-2023</t>
        </is>
      </c>
      <c r="B100" t="inlineStr">
        <is>
          <t>avverkningsanmälan</t>
        </is>
      </c>
      <c r="C100" t="inlineStr">
        <is>
          <t>Föryngringsavverkning</t>
        </is>
      </c>
      <c r="D100" s="1" t="n">
        <v>45019</v>
      </c>
      <c r="E100" s="1" t="n">
        <v>46223</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15466-2023</t>
        </is>
      </c>
      <c r="B101" t="inlineStr">
        <is>
          <t>avverkningsanmälan</t>
        </is>
      </c>
      <c r="C101" t="inlineStr">
        <is>
          <t>Föryngringsavverkning</t>
        </is>
      </c>
      <c r="D101" s="1" t="n">
        <v>45019</v>
      </c>
      <c r="E101" s="1" t="n">
        <v>46223</v>
      </c>
      <c r="F101" t="inlineStr">
        <is>
          <t>VÄSTRA GÖTALANDS LÄN</t>
        </is>
      </c>
      <c r="G101" t="inlineStr">
        <is>
          <t>ÅMÅL</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2457-2025</t>
        </is>
      </c>
      <c r="B102" t="inlineStr">
        <is>
          <t>avverkningsanmälan</t>
        </is>
      </c>
      <c r="C102" t="inlineStr">
        <is>
          <t>Föryngringsavverkning</t>
        </is>
      </c>
      <c r="D102" s="1" t="n">
        <v>45674</v>
      </c>
      <c r="E102" s="1" t="n">
        <v>46223</v>
      </c>
      <c r="F102" t="inlineStr">
        <is>
          <t>VÄSTRA GÖTALANDS LÄN</t>
        </is>
      </c>
      <c r="G102" t="inlineStr">
        <is>
          <t>ÅMÅL</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49500-2025</t>
        </is>
      </c>
      <c r="B103" t="inlineStr">
        <is>
          <t>avverkningsanmälan</t>
        </is>
      </c>
      <c r="C103" t="inlineStr">
        <is>
          <t>Föryngringsavverkning</t>
        </is>
      </c>
      <c r="D103" s="1" t="n">
        <v>45939</v>
      </c>
      <c r="E103" s="1" t="n">
        <v>46223</v>
      </c>
      <c r="F103" t="inlineStr">
        <is>
          <t>VÄSTRA GÖTALANDS LÄN</t>
        </is>
      </c>
      <c r="G103" t="inlineStr">
        <is>
          <t>ÅMÅL</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28862-2022</t>
        </is>
      </c>
      <c r="B104" t="inlineStr">
        <is>
          <t>avverkningsanmälan</t>
        </is>
      </c>
      <c r="C104" t="inlineStr">
        <is>
          <t>Föryngringsavverkning</t>
        </is>
      </c>
      <c r="D104" s="1" t="n">
        <v>44749</v>
      </c>
      <c r="E104" s="1" t="n">
        <v>46223</v>
      </c>
      <c r="F104" t="inlineStr">
        <is>
          <t>VÄSTRA GÖTALANDS LÄN</t>
        </is>
      </c>
      <c r="G104" t="inlineStr">
        <is>
          <t>ÅMÅL</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52216-2025</t>
        </is>
      </c>
      <c r="B105" t="inlineStr">
        <is>
          <t>avverkningsanmälan</t>
        </is>
      </c>
      <c r="C105" t="inlineStr">
        <is>
          <t>Föryngringsavverkning</t>
        </is>
      </c>
      <c r="D105" s="1" t="n">
        <v>45953</v>
      </c>
      <c r="E105" s="1" t="n">
        <v>46223</v>
      </c>
      <c r="F105" t="inlineStr">
        <is>
          <t>VÄSTRA GÖTALANDS LÄN</t>
        </is>
      </c>
      <c r="G105" t="inlineStr">
        <is>
          <t>ÅMÅL</t>
        </is>
      </c>
      <c r="I105" t="n">
        <v>4.1</v>
      </c>
      <c r="J105" t="n">
        <v>0</v>
      </c>
      <c r="K105" t="n">
        <v>0</v>
      </c>
      <c r="L105" t="n">
        <v>0</v>
      </c>
      <c r="M105" t="n">
        <v>0</v>
      </c>
      <c r="N105" t="n">
        <v>0</v>
      </c>
      <c r="O105" t="n">
        <v>0</v>
      </c>
      <c r="P105" t="n">
        <v>0</v>
      </c>
      <c r="Q105" t="n">
        <v>0</v>
      </c>
      <c r="R105" t="n">
        <v>0</v>
      </c>
      <c r="S105" t="n">
        <v>0</v>
      </c>
      <c r="T105" t="n">
        <v>0</v>
      </c>
      <c r="U105" s="2" t="inlineStr"/>
    </row>
    <row r="106" ht="15" customHeight="1">
      <c r="A106" t="inlineStr">
        <is>
          <t>A 52321-2023</t>
        </is>
      </c>
      <c r="B106" t="inlineStr">
        <is>
          <t>avverkningsanmälan</t>
        </is>
      </c>
      <c r="C106" t="inlineStr">
        <is>
          <t>Föryngringsavverkning</t>
        </is>
      </c>
      <c r="D106" s="1" t="n">
        <v>45224</v>
      </c>
      <c r="E106" s="1" t="n">
        <v>46223</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40161-2021</t>
        </is>
      </c>
      <c r="B107" t="inlineStr">
        <is>
          <t>avverkningsanmälan</t>
        </is>
      </c>
      <c r="C107" t="inlineStr">
        <is>
          <t>Föryngringsavverkning</t>
        </is>
      </c>
      <c r="D107" s="1" t="n">
        <v>44418</v>
      </c>
      <c r="E107" s="1" t="n">
        <v>46223</v>
      </c>
      <c r="F107" t="inlineStr">
        <is>
          <t>VÄSTRA GÖTALANDS LÄN</t>
        </is>
      </c>
      <c r="G107" t="inlineStr">
        <is>
          <t>ÅMÅL</t>
        </is>
      </c>
      <c r="H107" t="inlineStr">
        <is>
          <t>Bergvik skog väst AB</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46753-2023</t>
        </is>
      </c>
      <c r="B108" t="inlineStr">
        <is>
          <t>avverkningsanmälan</t>
        </is>
      </c>
      <c r="C108" t="inlineStr">
        <is>
          <t>Föryngringsavverkning</t>
        </is>
      </c>
      <c r="D108" s="1" t="n">
        <v>45198</v>
      </c>
      <c r="E108" s="1" t="n">
        <v>46223</v>
      </c>
      <c r="F108" t="inlineStr">
        <is>
          <t>VÄSTRA GÖTALANDS LÄN</t>
        </is>
      </c>
      <c r="G108" t="inlineStr">
        <is>
          <t>ÅMÅL</t>
        </is>
      </c>
      <c r="I108" t="n">
        <v>2.2</v>
      </c>
      <c r="J108" t="n">
        <v>0</v>
      </c>
      <c r="K108" t="n">
        <v>0</v>
      </c>
      <c r="L108" t="n">
        <v>0</v>
      </c>
      <c r="M108" t="n">
        <v>0</v>
      </c>
      <c r="N108" t="n">
        <v>0</v>
      </c>
      <c r="O108" t="n">
        <v>0</v>
      </c>
      <c r="P108" t="n">
        <v>0</v>
      </c>
      <c r="Q108" t="n">
        <v>0</v>
      </c>
      <c r="R108" t="n">
        <v>0</v>
      </c>
      <c r="S108" t="n">
        <v>0</v>
      </c>
      <c r="T108" t="n">
        <v>0</v>
      </c>
      <c r="U108" s="2" t="inlineStr"/>
    </row>
    <row r="109" ht="15" customHeight="1">
      <c r="A109" t="inlineStr">
        <is>
          <t>A 53536-2025</t>
        </is>
      </c>
      <c r="B109" t="inlineStr">
        <is>
          <t>avverkningsanmälan</t>
        </is>
      </c>
      <c r="C109" t="inlineStr">
        <is>
          <t>Föryngringsavverkning</t>
        </is>
      </c>
      <c r="D109" s="1" t="n">
        <v>45960</v>
      </c>
      <c r="E109" s="1" t="n">
        <v>46223</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9810-2026</t>
        </is>
      </c>
      <c r="B110" t="inlineStr">
        <is>
          <t>avverkningsanmälan</t>
        </is>
      </c>
      <c r="C110" t="inlineStr">
        <is>
          <t>Föryngringsavverkning</t>
        </is>
      </c>
      <c r="D110" s="1" t="n">
        <v>46072</v>
      </c>
      <c r="E110" s="1" t="n">
        <v>46223</v>
      </c>
      <c r="F110" t="inlineStr">
        <is>
          <t>VÄSTRA GÖTALANDS LÄN</t>
        </is>
      </c>
      <c r="G110" t="inlineStr">
        <is>
          <t>ÅMÅL</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14660-2023</t>
        </is>
      </c>
      <c r="B111" t="inlineStr">
        <is>
          <t>avverkningsanmälan</t>
        </is>
      </c>
      <c r="C111" t="inlineStr">
        <is>
          <t>Föryngringsavverkning</t>
        </is>
      </c>
      <c r="D111" s="1" t="n">
        <v>45013</v>
      </c>
      <c r="E111" s="1" t="n">
        <v>46223</v>
      </c>
      <c r="F111" t="inlineStr">
        <is>
          <t>VÄSTRA GÖTALANDS LÄN</t>
        </is>
      </c>
      <c r="G111" t="inlineStr">
        <is>
          <t>ÅMÅL</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9811-2026</t>
        </is>
      </c>
      <c r="B112" t="inlineStr">
        <is>
          <t>avverkningsanmälan</t>
        </is>
      </c>
      <c r="C112" t="inlineStr">
        <is>
          <t>Föryngringsavverkning</t>
        </is>
      </c>
      <c r="D112" s="1" t="n">
        <v>46072</v>
      </c>
      <c r="E112" s="1" t="n">
        <v>46223</v>
      </c>
      <c r="F112" t="inlineStr">
        <is>
          <t>VÄSTRA GÖTALANDS LÄN</t>
        </is>
      </c>
      <c r="G112" t="inlineStr">
        <is>
          <t>ÅMÅL</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9821-2026</t>
        </is>
      </c>
      <c r="B113" t="inlineStr">
        <is>
          <t>avverkningsanmälan</t>
        </is>
      </c>
      <c r="C113" t="inlineStr">
        <is>
          <t>Föryngringsavverkning</t>
        </is>
      </c>
      <c r="D113" s="1" t="n">
        <v>46072</v>
      </c>
      <c r="E113" s="1" t="n">
        <v>46223</v>
      </c>
      <c r="F113" t="inlineStr">
        <is>
          <t>VÄSTRA GÖTALANDS LÄN</t>
        </is>
      </c>
      <c r="G113" t="inlineStr">
        <is>
          <t>ÅMÅL</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18528-2023</t>
        </is>
      </c>
      <c r="B114" t="inlineStr">
        <is>
          <t>avverkningsanmälan</t>
        </is>
      </c>
      <c r="C114" t="inlineStr">
        <is>
          <t>Föryngringsavverkning</t>
        </is>
      </c>
      <c r="D114" s="1" t="n">
        <v>45042</v>
      </c>
      <c r="E114" s="1" t="n">
        <v>46223</v>
      </c>
      <c r="F114" t="inlineStr">
        <is>
          <t>VÄSTRA GÖTALANDS LÄN</t>
        </is>
      </c>
      <c r="G114" t="inlineStr">
        <is>
          <t>ÅMÅL</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48426-2022</t>
        </is>
      </c>
      <c r="B115" t="inlineStr">
        <is>
          <t>avverkningsanmälan</t>
        </is>
      </c>
      <c r="C115" t="inlineStr">
        <is>
          <t>Föryngringsavverkning</t>
        </is>
      </c>
      <c r="D115" s="1" t="n">
        <v>44858</v>
      </c>
      <c r="E115" s="1" t="n">
        <v>46223</v>
      </c>
      <c r="F115" t="inlineStr">
        <is>
          <t>VÄSTRA GÖTALANDS LÄN</t>
        </is>
      </c>
      <c r="G115" t="inlineStr">
        <is>
          <t>ÅMÅL</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55119-2025</t>
        </is>
      </c>
      <c r="B116" t="inlineStr">
        <is>
          <t>avverkningsanmälan</t>
        </is>
      </c>
      <c r="C116" t="inlineStr">
        <is>
          <t>Föryngringsavverkning</t>
        </is>
      </c>
      <c r="D116" s="1" t="n">
        <v>45967</v>
      </c>
      <c r="E116" s="1" t="n">
        <v>46223</v>
      </c>
      <c r="F116" t="inlineStr">
        <is>
          <t>VÄSTRA GÖTALANDS LÄN</t>
        </is>
      </c>
      <c r="G116" t="inlineStr">
        <is>
          <t>ÅMÅL</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20141-2023</t>
        </is>
      </c>
      <c r="B117" t="inlineStr">
        <is>
          <t>avverkningsanmälan</t>
        </is>
      </c>
      <c r="C117" t="inlineStr">
        <is>
          <t>Föryngringsavverkning</t>
        </is>
      </c>
      <c r="D117" s="1" t="n">
        <v>45055</v>
      </c>
      <c r="E117" s="1" t="n">
        <v>46223</v>
      </c>
      <c r="F117" t="inlineStr">
        <is>
          <t>VÄSTRA GÖTALANDS LÄN</t>
        </is>
      </c>
      <c r="G117" t="inlineStr">
        <is>
          <t>ÅMÅL</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40493-2022</t>
        </is>
      </c>
      <c r="B118" t="inlineStr">
        <is>
          <t>avverkningsanmälan</t>
        </is>
      </c>
      <c r="C118" t="inlineStr">
        <is>
          <t>Föryngringsavverkning</t>
        </is>
      </c>
      <c r="D118" s="1" t="n">
        <v>44819</v>
      </c>
      <c r="E118" s="1" t="n">
        <v>46223</v>
      </c>
      <c r="F118" t="inlineStr">
        <is>
          <t>VÄSTRA GÖTALANDS LÄN</t>
        </is>
      </c>
      <c r="G118" t="inlineStr">
        <is>
          <t>ÅMÅL</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51056-2022</t>
        </is>
      </c>
      <c r="B119" t="inlineStr">
        <is>
          <t>avverkningsanmälan</t>
        </is>
      </c>
      <c r="C119" t="inlineStr">
        <is>
          <t>Föryngringsavverkning</t>
        </is>
      </c>
      <c r="D119" s="1" t="n">
        <v>44868</v>
      </c>
      <c r="E119" s="1" t="n">
        <v>46223</v>
      </c>
      <c r="F119" t="inlineStr">
        <is>
          <t>VÄSTRA GÖTALANDS LÄN</t>
        </is>
      </c>
      <c r="G119" t="inlineStr">
        <is>
          <t>ÅMÅL</t>
        </is>
      </c>
      <c r="I119" t="n">
        <v>0.1</v>
      </c>
      <c r="J119" t="n">
        <v>0</v>
      </c>
      <c r="K119" t="n">
        <v>0</v>
      </c>
      <c r="L119" t="n">
        <v>0</v>
      </c>
      <c r="M119" t="n">
        <v>0</v>
      </c>
      <c r="N119" t="n">
        <v>0</v>
      </c>
      <c r="O119" t="n">
        <v>0</v>
      </c>
      <c r="P119" t="n">
        <v>0</v>
      </c>
      <c r="Q119" t="n">
        <v>0</v>
      </c>
      <c r="R119" t="n">
        <v>0</v>
      </c>
      <c r="S119" t="n">
        <v>0</v>
      </c>
      <c r="T119" t="n">
        <v>0</v>
      </c>
      <c r="U119" s="2" t="inlineStr"/>
    </row>
    <row r="120" ht="15" customHeight="1">
      <c r="A120" t="inlineStr">
        <is>
          <t>A 57957-2023</t>
        </is>
      </c>
      <c r="B120" t="inlineStr">
        <is>
          <t>avverkningsanmälan</t>
        </is>
      </c>
      <c r="C120" t="inlineStr">
        <is>
          <t>Föryngringsavverkning</t>
        </is>
      </c>
      <c r="D120" s="1" t="n">
        <v>45247</v>
      </c>
      <c r="E120" s="1" t="n">
        <v>46223</v>
      </c>
      <c r="F120" t="inlineStr">
        <is>
          <t>VÄSTRA GÖTALANDS LÄN</t>
        </is>
      </c>
      <c r="G120" t="inlineStr">
        <is>
          <t>ÅMÅL</t>
        </is>
      </c>
      <c r="I120" t="n">
        <v>8</v>
      </c>
      <c r="J120" t="n">
        <v>0</v>
      </c>
      <c r="K120" t="n">
        <v>0</v>
      </c>
      <c r="L120" t="n">
        <v>0</v>
      </c>
      <c r="M120" t="n">
        <v>0</v>
      </c>
      <c r="N120" t="n">
        <v>0</v>
      </c>
      <c r="O120" t="n">
        <v>0</v>
      </c>
      <c r="P120" t="n">
        <v>0</v>
      </c>
      <c r="Q120" t="n">
        <v>0</v>
      </c>
      <c r="R120" t="n">
        <v>0</v>
      </c>
      <c r="S120" t="n">
        <v>0</v>
      </c>
      <c r="T120" t="n">
        <v>0</v>
      </c>
      <c r="U120" s="2" t="inlineStr"/>
    </row>
    <row r="121" ht="15" customHeight="1">
      <c r="A121" t="inlineStr">
        <is>
          <t>A 57720-2023</t>
        </is>
      </c>
      <c r="B121" t="inlineStr">
        <is>
          <t>avverkningsanmälan</t>
        </is>
      </c>
      <c r="C121" t="inlineStr">
        <is>
          <t>Föryngringsavverkning</t>
        </is>
      </c>
      <c r="D121" s="1" t="n">
        <v>45246</v>
      </c>
      <c r="E121" s="1" t="n">
        <v>46223</v>
      </c>
      <c r="F121" t="inlineStr">
        <is>
          <t>VÄSTRA GÖTALANDS LÄN</t>
        </is>
      </c>
      <c r="G121" t="inlineStr">
        <is>
          <t>ÅMÅL</t>
        </is>
      </c>
      <c r="I121" t="n">
        <v>2.6</v>
      </c>
      <c r="J121" t="n">
        <v>0</v>
      </c>
      <c r="K121" t="n">
        <v>0</v>
      </c>
      <c r="L121" t="n">
        <v>0</v>
      </c>
      <c r="M121" t="n">
        <v>0</v>
      </c>
      <c r="N121" t="n">
        <v>0</v>
      </c>
      <c r="O121" t="n">
        <v>0</v>
      </c>
      <c r="P121" t="n">
        <v>0</v>
      </c>
      <c r="Q121" t="n">
        <v>0</v>
      </c>
      <c r="R121" t="n">
        <v>0</v>
      </c>
      <c r="S121" t="n">
        <v>0</v>
      </c>
      <c r="T121" t="n">
        <v>0</v>
      </c>
      <c r="U121" s="2" t="inlineStr"/>
    </row>
    <row r="122" ht="15" customHeight="1">
      <c r="A122" t="inlineStr">
        <is>
          <t>A 57088-2025</t>
        </is>
      </c>
      <c r="B122" t="inlineStr">
        <is>
          <t>avverkningsanmälan</t>
        </is>
      </c>
      <c r="C122" t="inlineStr">
        <is>
          <t>Föryngringsavverkning</t>
        </is>
      </c>
      <c r="D122" s="1" t="n">
        <v>45979</v>
      </c>
      <c r="E122" s="1" t="n">
        <v>46223</v>
      </c>
      <c r="F122" t="inlineStr">
        <is>
          <t>VÄSTRA GÖTALANDS LÄN</t>
        </is>
      </c>
      <c r="G122" t="inlineStr">
        <is>
          <t>ÅMÅL</t>
        </is>
      </c>
      <c r="I122" t="n">
        <v>2.7</v>
      </c>
      <c r="J122" t="n">
        <v>0</v>
      </c>
      <c r="K122" t="n">
        <v>0</v>
      </c>
      <c r="L122" t="n">
        <v>0</v>
      </c>
      <c r="M122" t="n">
        <v>0</v>
      </c>
      <c r="N122" t="n">
        <v>0</v>
      </c>
      <c r="O122" t="n">
        <v>0</v>
      </c>
      <c r="P122" t="n">
        <v>0</v>
      </c>
      <c r="Q122" t="n">
        <v>0</v>
      </c>
      <c r="R122" t="n">
        <v>0</v>
      </c>
      <c r="S122" t="n">
        <v>0</v>
      </c>
      <c r="T122" t="n">
        <v>0</v>
      </c>
      <c r="U122" s="2" t="inlineStr"/>
    </row>
    <row r="123" ht="15" customHeight="1">
      <c r="A123" t="inlineStr">
        <is>
          <t>A 41013-2023</t>
        </is>
      </c>
      <c r="B123" t="inlineStr">
        <is>
          <t>avverkningsanmälan</t>
        </is>
      </c>
      <c r="C123" t="inlineStr">
        <is>
          <t>Föryngringsavverkning</t>
        </is>
      </c>
      <c r="D123" s="1" t="n">
        <v>45169</v>
      </c>
      <c r="E123" s="1" t="n">
        <v>46223</v>
      </c>
      <c r="F123" t="inlineStr">
        <is>
          <t>VÄSTRA GÖTALANDS LÄN</t>
        </is>
      </c>
      <c r="G123" t="inlineStr">
        <is>
          <t>ÅMÅL</t>
        </is>
      </c>
      <c r="I123" t="n">
        <v>7.5</v>
      </c>
      <c r="J123" t="n">
        <v>0</v>
      </c>
      <c r="K123" t="n">
        <v>0</v>
      </c>
      <c r="L123" t="n">
        <v>0</v>
      </c>
      <c r="M123" t="n">
        <v>0</v>
      </c>
      <c r="N123" t="n">
        <v>0</v>
      </c>
      <c r="O123" t="n">
        <v>0</v>
      </c>
      <c r="P123" t="n">
        <v>0</v>
      </c>
      <c r="Q123" t="n">
        <v>0</v>
      </c>
      <c r="R123" t="n">
        <v>0</v>
      </c>
      <c r="S123" t="n">
        <v>0</v>
      </c>
      <c r="T123" t="n">
        <v>0</v>
      </c>
      <c r="U123" s="2" t="inlineStr"/>
    </row>
    <row r="124" ht="15" customHeight="1">
      <c r="A124" t="inlineStr">
        <is>
          <t>A 30981-2023</t>
        </is>
      </c>
      <c r="B124" t="inlineStr">
        <is>
          <t>avverkningsanmälan</t>
        </is>
      </c>
      <c r="C124" t="inlineStr">
        <is>
          <t>Föryngringsavverkning</t>
        </is>
      </c>
      <c r="D124" s="1" t="n">
        <v>45113</v>
      </c>
      <c r="E124" s="1" t="n">
        <v>46223</v>
      </c>
      <c r="F124" t="inlineStr">
        <is>
          <t>VÄSTRA GÖTALANDS LÄN</t>
        </is>
      </c>
      <c r="G124" t="inlineStr">
        <is>
          <t>ÅMÅL</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14470-2023</t>
        </is>
      </c>
      <c r="B125" t="inlineStr">
        <is>
          <t>avverkningsanmälan</t>
        </is>
      </c>
      <c r="C125" t="inlineStr">
        <is>
          <t>Föryngringsavverkning</t>
        </is>
      </c>
      <c r="D125" s="1" t="n">
        <v>45012</v>
      </c>
      <c r="E125" s="1" t="n">
        <v>46223</v>
      </c>
      <c r="F125" t="inlineStr">
        <is>
          <t>VÄSTRA GÖTALANDS LÄN</t>
        </is>
      </c>
      <c r="G125" t="inlineStr">
        <is>
          <t>ÅMÅL</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58707-2025</t>
        </is>
      </c>
      <c r="B126" t="inlineStr">
        <is>
          <t>avverkningsanmälan</t>
        </is>
      </c>
      <c r="C126" t="inlineStr">
        <is>
          <t>Föryngringsavverkning</t>
        </is>
      </c>
      <c r="D126" s="1" t="n">
        <v>45986</v>
      </c>
      <c r="E126" s="1" t="n">
        <v>46223</v>
      </c>
      <c r="F126" t="inlineStr">
        <is>
          <t>VÄSTRA GÖTALANDS LÄN</t>
        </is>
      </c>
      <c r="G126" t="inlineStr">
        <is>
          <t>ÅMÅL</t>
        </is>
      </c>
      <c r="H126" t="inlineStr">
        <is>
          <t>Kyrkan</t>
        </is>
      </c>
      <c r="I126" t="n">
        <v>11.2</v>
      </c>
      <c r="J126" t="n">
        <v>0</v>
      </c>
      <c r="K126" t="n">
        <v>0</v>
      </c>
      <c r="L126" t="n">
        <v>0</v>
      </c>
      <c r="M126" t="n">
        <v>0</v>
      </c>
      <c r="N126" t="n">
        <v>0</v>
      </c>
      <c r="O126" t="n">
        <v>0</v>
      </c>
      <c r="P126" t="n">
        <v>0</v>
      </c>
      <c r="Q126" t="n">
        <v>0</v>
      </c>
      <c r="R126" t="n">
        <v>0</v>
      </c>
      <c r="S126" t="n">
        <v>0</v>
      </c>
      <c r="T126" t="n">
        <v>0</v>
      </c>
      <c r="U126" s="2" t="inlineStr"/>
    </row>
    <row r="127" ht="15" customHeight="1">
      <c r="A127" t="inlineStr">
        <is>
          <t>A 58628-2025</t>
        </is>
      </c>
      <c r="B127" t="inlineStr">
        <is>
          <t>avverkningsanmälan</t>
        </is>
      </c>
      <c r="C127" t="inlineStr">
        <is>
          <t>Föryngringsavverkning</t>
        </is>
      </c>
      <c r="D127" s="1" t="n">
        <v>45986</v>
      </c>
      <c r="E127" s="1" t="n">
        <v>46223</v>
      </c>
      <c r="F127" t="inlineStr">
        <is>
          <t>VÄSTRA GÖTALANDS LÄN</t>
        </is>
      </c>
      <c r="G127" t="inlineStr">
        <is>
          <t>ÅMÅL</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12567-2026</t>
        </is>
      </c>
      <c r="B128" t="inlineStr">
        <is>
          <t>avverkningsanmälan</t>
        </is>
      </c>
      <c r="C128" t="inlineStr">
        <is>
          <t>Föryngringsavverkning</t>
        </is>
      </c>
      <c r="D128" s="1" t="n">
        <v>46090</v>
      </c>
      <c r="E128" s="1" t="n">
        <v>46223</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12517-2026</t>
        </is>
      </c>
      <c r="B129" t="inlineStr">
        <is>
          <t>avverkningsanmälan</t>
        </is>
      </c>
      <c r="C129" t="inlineStr">
        <is>
          <t>Föryngringsavverkning</t>
        </is>
      </c>
      <c r="D129" s="1" t="n">
        <v>46090</v>
      </c>
      <c r="E129" s="1" t="n">
        <v>46223</v>
      </c>
      <c r="F129" t="inlineStr">
        <is>
          <t>VÄSTRA GÖTALANDS LÄN</t>
        </is>
      </c>
      <c r="G129" t="inlineStr">
        <is>
          <t>ÅMÅL</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69487-2021</t>
        </is>
      </c>
      <c r="B130" t="inlineStr">
        <is>
          <t>avverkningsanmälan</t>
        </is>
      </c>
      <c r="C130" t="inlineStr">
        <is>
          <t>Föryngringsavverkning</t>
        </is>
      </c>
      <c r="D130" s="1" t="n">
        <v>44531</v>
      </c>
      <c r="E130" s="1" t="n">
        <v>46223</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27836-2023</t>
        </is>
      </c>
      <c r="B131" t="inlineStr">
        <is>
          <t>avverkningsanmälan</t>
        </is>
      </c>
      <c r="C131" t="inlineStr">
        <is>
          <t>Föryngringsavverkning</t>
        </is>
      </c>
      <c r="D131" s="1" t="n">
        <v>45098</v>
      </c>
      <c r="E131" s="1" t="n">
        <v>46223</v>
      </c>
      <c r="F131" t="inlineStr">
        <is>
          <t>VÄSTRA GÖTALANDS LÄN</t>
        </is>
      </c>
      <c r="G131" t="inlineStr">
        <is>
          <t>ÅMÅL</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50428-2022</t>
        </is>
      </c>
      <c r="B132" t="inlineStr">
        <is>
          <t>avverkningsanmälan</t>
        </is>
      </c>
      <c r="C132" t="inlineStr">
        <is>
          <t>Föryngringsavverkning</t>
        </is>
      </c>
      <c r="D132" s="1" t="n">
        <v>44866</v>
      </c>
      <c r="E132" s="1" t="n">
        <v>46223</v>
      </c>
      <c r="F132" t="inlineStr">
        <is>
          <t>VÄSTRA GÖTALANDS LÄN</t>
        </is>
      </c>
      <c r="G132" t="inlineStr">
        <is>
          <t>ÅMÅL</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55660-2021</t>
        </is>
      </c>
      <c r="B133" t="inlineStr">
        <is>
          <t>avverkningsanmälan</t>
        </is>
      </c>
      <c r="C133" t="inlineStr">
        <is>
          <t>Föryngringsavverkning</t>
        </is>
      </c>
      <c r="D133" s="1" t="n">
        <v>44476</v>
      </c>
      <c r="E133" s="1" t="n">
        <v>46223</v>
      </c>
      <c r="F133" t="inlineStr">
        <is>
          <t>VÄSTRA GÖTALANDS LÄN</t>
        </is>
      </c>
      <c r="G133" t="inlineStr">
        <is>
          <t>ÅMÅL</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53885-2022</t>
        </is>
      </c>
      <c r="B134" t="inlineStr">
        <is>
          <t>avverkningsanmälan</t>
        </is>
      </c>
      <c r="C134" t="inlineStr">
        <is>
          <t>Föryngringsavverkning</t>
        </is>
      </c>
      <c r="D134" s="1" t="n">
        <v>44876</v>
      </c>
      <c r="E134" s="1" t="n">
        <v>46223</v>
      </c>
      <c r="F134" t="inlineStr">
        <is>
          <t>VÄSTRA GÖTALANDS LÄN</t>
        </is>
      </c>
      <c r="G134" t="inlineStr">
        <is>
          <t>ÅMÅL</t>
        </is>
      </c>
      <c r="I134" t="n">
        <v>4.2</v>
      </c>
      <c r="J134" t="n">
        <v>0</v>
      </c>
      <c r="K134" t="n">
        <v>0</v>
      </c>
      <c r="L134" t="n">
        <v>0</v>
      </c>
      <c r="M134" t="n">
        <v>0</v>
      </c>
      <c r="N134" t="n">
        <v>0</v>
      </c>
      <c r="O134" t="n">
        <v>0</v>
      </c>
      <c r="P134" t="n">
        <v>0</v>
      </c>
      <c r="Q134" t="n">
        <v>0</v>
      </c>
      <c r="R134" t="n">
        <v>0</v>
      </c>
      <c r="S134" t="n">
        <v>0</v>
      </c>
      <c r="T134" t="n">
        <v>0</v>
      </c>
      <c r="U134" s="2" t="inlineStr"/>
    </row>
    <row r="135" ht="15" customHeight="1">
      <c r="A135" t="inlineStr">
        <is>
          <t>A 61122-2025</t>
        </is>
      </c>
      <c r="B135" t="inlineStr">
        <is>
          <t>avverkningsanmälan</t>
        </is>
      </c>
      <c r="C135" t="inlineStr">
        <is>
          <t>Föryngringsavverkning</t>
        </is>
      </c>
      <c r="D135" s="1" t="n">
        <v>46000</v>
      </c>
      <c r="E135" s="1" t="n">
        <v>46223</v>
      </c>
      <c r="F135" t="inlineStr">
        <is>
          <t>VÄSTRA GÖTALANDS LÄN</t>
        </is>
      </c>
      <c r="G135" t="inlineStr">
        <is>
          <t>ÅMÅL</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19914-2025</t>
        </is>
      </c>
      <c r="B136" t="inlineStr">
        <is>
          <t>avverkningsanmälan</t>
        </is>
      </c>
      <c r="C136" t="inlineStr">
        <is>
          <t>Föryngringsavverkning</t>
        </is>
      </c>
      <c r="D136" s="1" t="n">
        <v>45771</v>
      </c>
      <c r="E136" s="1" t="n">
        <v>46223</v>
      </c>
      <c r="F136" t="inlineStr">
        <is>
          <t>VÄSTRA GÖTALANDS LÄN</t>
        </is>
      </c>
      <c r="G136" t="inlineStr">
        <is>
          <t>ÅMÅL</t>
        </is>
      </c>
      <c r="I136" t="n">
        <v>5.2</v>
      </c>
      <c r="J136" t="n">
        <v>0</v>
      </c>
      <c r="K136" t="n">
        <v>0</v>
      </c>
      <c r="L136" t="n">
        <v>0</v>
      </c>
      <c r="M136" t="n">
        <v>0</v>
      </c>
      <c r="N136" t="n">
        <v>0</v>
      </c>
      <c r="O136" t="n">
        <v>0</v>
      </c>
      <c r="P136" t="n">
        <v>0</v>
      </c>
      <c r="Q136" t="n">
        <v>0</v>
      </c>
      <c r="R136" t="n">
        <v>0</v>
      </c>
      <c r="S136" t="n">
        <v>0</v>
      </c>
      <c r="T136" t="n">
        <v>0</v>
      </c>
      <c r="U136" s="2" t="inlineStr"/>
    </row>
    <row r="137" ht="15" customHeight="1">
      <c r="A137" t="inlineStr">
        <is>
          <t>A 7086-2022</t>
        </is>
      </c>
      <c r="B137" t="inlineStr">
        <is>
          <t>avverkningsanmälan</t>
        </is>
      </c>
      <c r="C137" t="inlineStr">
        <is>
          <t>Föryngringsavverkning</t>
        </is>
      </c>
      <c r="D137" s="1" t="n">
        <v>44603</v>
      </c>
      <c r="E137" s="1" t="n">
        <v>46223</v>
      </c>
      <c r="F137" t="inlineStr">
        <is>
          <t>VÄSTRA GÖTALANDS LÄN</t>
        </is>
      </c>
      <c r="G137" t="inlineStr">
        <is>
          <t>ÅMÅL</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57252-2023</t>
        </is>
      </c>
      <c r="B138" t="inlineStr">
        <is>
          <t>avverkningsanmälan</t>
        </is>
      </c>
      <c r="C138" t="inlineStr">
        <is>
          <t>Föryngringsavverkning</t>
        </is>
      </c>
      <c r="D138" s="1" t="n">
        <v>45245</v>
      </c>
      <c r="E138" s="1" t="n">
        <v>46223</v>
      </c>
      <c r="F138" t="inlineStr">
        <is>
          <t>VÄSTRA GÖTALANDS LÄN</t>
        </is>
      </c>
      <c r="G138" t="inlineStr">
        <is>
          <t>ÅMÅL</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62339-2025</t>
        </is>
      </c>
      <c r="B139" t="inlineStr">
        <is>
          <t>avverkningsanmälan</t>
        </is>
      </c>
      <c r="C139" t="inlineStr">
        <is>
          <t>Föryngringsavverkning</t>
        </is>
      </c>
      <c r="D139" s="1" t="n">
        <v>46006</v>
      </c>
      <c r="E139" s="1" t="n">
        <v>46223</v>
      </c>
      <c r="F139" t="inlineStr">
        <is>
          <t>VÄSTRA GÖTALANDS LÄN</t>
        </is>
      </c>
      <c r="G139" t="inlineStr">
        <is>
          <t>ÅMÅL</t>
        </is>
      </c>
      <c r="H139" t="inlineStr">
        <is>
          <t>Bergvik skog väst AB</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62481-2025</t>
        </is>
      </c>
      <c r="B140" t="inlineStr">
        <is>
          <t>avverkningsanmälan</t>
        </is>
      </c>
      <c r="C140" t="inlineStr">
        <is>
          <t>Föryngringsavverkning</t>
        </is>
      </c>
      <c r="D140" s="1" t="n">
        <v>46007</v>
      </c>
      <c r="E140" s="1" t="n">
        <v>46223</v>
      </c>
      <c r="F140" t="inlineStr">
        <is>
          <t>VÄSTRA GÖTALANDS LÄN</t>
        </is>
      </c>
      <c r="G140" t="inlineStr">
        <is>
          <t>ÅMÅL</t>
        </is>
      </c>
      <c r="H140" t="inlineStr">
        <is>
          <t>Bergvik skog väst AB</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62440-2025</t>
        </is>
      </c>
      <c r="B141" t="inlineStr">
        <is>
          <t>avverkningsanmälan</t>
        </is>
      </c>
      <c r="C141" t="inlineStr">
        <is>
          <t>Föryngringsavverkning</t>
        </is>
      </c>
      <c r="D141" s="1" t="n">
        <v>46007</v>
      </c>
      <c r="E141" s="1" t="n">
        <v>46223</v>
      </c>
      <c r="F141" t="inlineStr">
        <is>
          <t>VÄSTRA GÖTALANDS LÄN</t>
        </is>
      </c>
      <c r="G141" t="inlineStr">
        <is>
          <t>ÅMÅL</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62483-2025</t>
        </is>
      </c>
      <c r="B142" t="inlineStr">
        <is>
          <t>avverkningsanmälan</t>
        </is>
      </c>
      <c r="C142" t="inlineStr">
        <is>
          <t>Föryngringsavverkning</t>
        </is>
      </c>
      <c r="D142" s="1" t="n">
        <v>46007</v>
      </c>
      <c r="E142" s="1" t="n">
        <v>46223</v>
      </c>
      <c r="F142" t="inlineStr">
        <is>
          <t>VÄSTRA GÖTALANDS LÄN</t>
        </is>
      </c>
      <c r="G142" t="inlineStr">
        <is>
          <t>ÅMÅL</t>
        </is>
      </c>
      <c r="H142" t="inlineStr">
        <is>
          <t>Bergvik skog väst AB</t>
        </is>
      </c>
      <c r="I142" t="n">
        <v>7.9</v>
      </c>
      <c r="J142" t="n">
        <v>0</v>
      </c>
      <c r="K142" t="n">
        <v>0</v>
      </c>
      <c r="L142" t="n">
        <v>0</v>
      </c>
      <c r="M142" t="n">
        <v>0</v>
      </c>
      <c r="N142" t="n">
        <v>0</v>
      </c>
      <c r="O142" t="n">
        <v>0</v>
      </c>
      <c r="P142" t="n">
        <v>0</v>
      </c>
      <c r="Q142" t="n">
        <v>0</v>
      </c>
      <c r="R142" t="n">
        <v>0</v>
      </c>
      <c r="S142" t="n">
        <v>0</v>
      </c>
      <c r="T142" t="n">
        <v>0</v>
      </c>
      <c r="U142" s="2" t="inlineStr"/>
    </row>
    <row r="143" ht="15" customHeight="1">
      <c r="A143" t="inlineStr">
        <is>
          <t>A 14225-2022</t>
        </is>
      </c>
      <c r="B143" t="inlineStr">
        <is>
          <t>avverkningsanmälan</t>
        </is>
      </c>
      <c r="C143" t="inlineStr">
        <is>
          <t>Föryngringsavverkning</t>
        </is>
      </c>
      <c r="D143" s="1" t="n">
        <v>44651</v>
      </c>
      <c r="E143" s="1" t="n">
        <v>46223</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62844-2025</t>
        </is>
      </c>
      <c r="B144" t="inlineStr">
        <is>
          <t>avverkningsanmälan</t>
        </is>
      </c>
      <c r="C144" t="inlineStr">
        <is>
          <t>Föryngringsavverkning</t>
        </is>
      </c>
      <c r="D144" s="1" t="n">
        <v>46008</v>
      </c>
      <c r="E144" s="1" t="n">
        <v>46223</v>
      </c>
      <c r="F144" t="inlineStr">
        <is>
          <t>VÄSTRA GÖTALANDS LÄN</t>
        </is>
      </c>
      <c r="G144" t="inlineStr">
        <is>
          <t>ÅMÅL</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29995-2023</t>
        </is>
      </c>
      <c r="B145" t="inlineStr">
        <is>
          <t>avverkningsanmälan</t>
        </is>
      </c>
      <c r="C145" t="inlineStr">
        <is>
          <t>Föryngringsavverkning</t>
        </is>
      </c>
      <c r="D145" s="1" t="n">
        <v>45109</v>
      </c>
      <c r="E145" s="1" t="n">
        <v>46223</v>
      </c>
      <c r="F145" t="inlineStr">
        <is>
          <t>VÄSTRA GÖTALANDS LÄN</t>
        </is>
      </c>
      <c r="G145" t="inlineStr">
        <is>
          <t>ÅMÅL</t>
        </is>
      </c>
      <c r="I145" t="n">
        <v>7.4</v>
      </c>
      <c r="J145" t="n">
        <v>0</v>
      </c>
      <c r="K145" t="n">
        <v>0</v>
      </c>
      <c r="L145" t="n">
        <v>0</v>
      </c>
      <c r="M145" t="n">
        <v>0</v>
      </c>
      <c r="N145" t="n">
        <v>0</v>
      </c>
      <c r="O145" t="n">
        <v>0</v>
      </c>
      <c r="P145" t="n">
        <v>0</v>
      </c>
      <c r="Q145" t="n">
        <v>0</v>
      </c>
      <c r="R145" t="n">
        <v>0</v>
      </c>
      <c r="S145" t="n">
        <v>0</v>
      </c>
      <c r="T145" t="n">
        <v>0</v>
      </c>
      <c r="U145" s="2" t="inlineStr"/>
    </row>
    <row r="146" ht="15" customHeight="1">
      <c r="A146" t="inlineStr">
        <is>
          <t>A 61092-2021</t>
        </is>
      </c>
      <c r="B146" t="inlineStr">
        <is>
          <t>avverkningsanmälan</t>
        </is>
      </c>
      <c r="C146" t="inlineStr">
        <is>
          <t>Föryngringsavverkning</t>
        </is>
      </c>
      <c r="D146" s="1" t="n">
        <v>44498</v>
      </c>
      <c r="E146" s="1" t="n">
        <v>46223</v>
      </c>
      <c r="F146" t="inlineStr">
        <is>
          <t>VÄSTRA GÖTALANDS LÄN</t>
        </is>
      </c>
      <c r="G146" t="inlineStr">
        <is>
          <t>ÅMÅL</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58266-2022</t>
        </is>
      </c>
      <c r="B147" t="inlineStr">
        <is>
          <t>avverkningsanmälan</t>
        </is>
      </c>
      <c r="C147" t="inlineStr">
        <is>
          <t>Föryngringsavverkning</t>
        </is>
      </c>
      <c r="D147" s="1" t="n">
        <v>44901</v>
      </c>
      <c r="E147" s="1" t="n">
        <v>46223</v>
      </c>
      <c r="F147" t="inlineStr">
        <is>
          <t>VÄSTRA GÖTALANDS LÄN</t>
        </is>
      </c>
      <c r="G147" t="inlineStr">
        <is>
          <t>ÅMÅL</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1695-2026</t>
        </is>
      </c>
      <c r="B148" t="inlineStr">
        <is>
          <t>avverkningsanmälan</t>
        </is>
      </c>
      <c r="C148" t="inlineStr">
        <is>
          <t>Föryngringsavverkning</t>
        </is>
      </c>
      <c r="D148" s="1" t="n">
        <v>46034</v>
      </c>
      <c r="E148" s="1" t="n">
        <v>46223</v>
      </c>
      <c r="F148" t="inlineStr">
        <is>
          <t>VÄSTRA GÖTALANDS LÄN</t>
        </is>
      </c>
      <c r="G148" t="inlineStr">
        <is>
          <t>ÅMÅL</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1689-2026</t>
        </is>
      </c>
      <c r="B149" t="inlineStr">
        <is>
          <t>avverkningsanmälan</t>
        </is>
      </c>
      <c r="C149" t="inlineStr">
        <is>
          <t>Föryngringsavverkning</t>
        </is>
      </c>
      <c r="D149" s="1" t="n">
        <v>46034</v>
      </c>
      <c r="E149" s="1" t="n">
        <v>46223</v>
      </c>
      <c r="F149" t="inlineStr">
        <is>
          <t>VÄSTRA GÖTALANDS LÄN</t>
        </is>
      </c>
      <c r="G149" t="inlineStr">
        <is>
          <t>ÅMÅL</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45086-2024</t>
        </is>
      </c>
      <c r="B150" t="inlineStr">
        <is>
          <t>avverkningsanmälan</t>
        </is>
      </c>
      <c r="C150" t="inlineStr">
        <is>
          <t>Föryngringsavverkning</t>
        </is>
      </c>
      <c r="D150" s="1" t="n">
        <v>45575</v>
      </c>
      <c r="E150" s="1" t="n">
        <v>46223</v>
      </c>
      <c r="F150" t="inlineStr">
        <is>
          <t>VÄSTRA GÖTALANDS LÄN</t>
        </is>
      </c>
      <c r="G150" t="inlineStr">
        <is>
          <t>ÅMÅL</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16153-2026</t>
        </is>
      </c>
      <c r="B151" t="inlineStr">
        <is>
          <t>avverkningsanmälan</t>
        </is>
      </c>
      <c r="C151" t="inlineStr">
        <is>
          <t>Föryngringsavverkning</t>
        </is>
      </c>
      <c r="D151" s="1" t="n">
        <v>46108</v>
      </c>
      <c r="E151" s="1" t="n">
        <v>46223</v>
      </c>
      <c r="F151" t="inlineStr">
        <is>
          <t>VÄSTRA GÖTALANDS LÄN</t>
        </is>
      </c>
      <c r="G151" t="inlineStr">
        <is>
          <t>ÅMÅL</t>
        </is>
      </c>
      <c r="H151" t="inlineStr">
        <is>
          <t>Kommuner</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2981-2026</t>
        </is>
      </c>
      <c r="B152" t="inlineStr">
        <is>
          <t>avverkningsanmälan</t>
        </is>
      </c>
      <c r="C152" t="inlineStr">
        <is>
          <t>Föryngringsavverkning</t>
        </is>
      </c>
      <c r="D152" s="1" t="n">
        <v>46038</v>
      </c>
      <c r="E152" s="1" t="n">
        <v>46223</v>
      </c>
      <c r="F152" t="inlineStr">
        <is>
          <t>VÄSTRA GÖTALANDS LÄN</t>
        </is>
      </c>
      <c r="G152" t="inlineStr">
        <is>
          <t>ÅMÅL</t>
        </is>
      </c>
      <c r="H152" t="inlineStr">
        <is>
          <t>Bergvik skog väst AB</t>
        </is>
      </c>
      <c r="I152" t="n">
        <v>2.5</v>
      </c>
      <c r="J152" t="n">
        <v>0</v>
      </c>
      <c r="K152" t="n">
        <v>0</v>
      </c>
      <c r="L152" t="n">
        <v>0</v>
      </c>
      <c r="M152" t="n">
        <v>0</v>
      </c>
      <c r="N152" t="n">
        <v>0</v>
      </c>
      <c r="O152" t="n">
        <v>0</v>
      </c>
      <c r="P152" t="n">
        <v>0</v>
      </c>
      <c r="Q152" t="n">
        <v>0</v>
      </c>
      <c r="R152" t="n">
        <v>0</v>
      </c>
      <c r="S152" t="n">
        <v>0</v>
      </c>
      <c r="T152" t="n">
        <v>0</v>
      </c>
      <c r="U152" s="2" t="inlineStr"/>
    </row>
    <row r="153" ht="15" customHeight="1">
      <c r="A153" t="inlineStr">
        <is>
          <t>A 47690-2024</t>
        </is>
      </c>
      <c r="B153" t="inlineStr">
        <is>
          <t>avverkningsanmälan</t>
        </is>
      </c>
      <c r="C153" t="inlineStr">
        <is>
          <t>Föryngringsavverkning</t>
        </is>
      </c>
      <c r="D153" s="1" t="n">
        <v>45588</v>
      </c>
      <c r="E153" s="1" t="n">
        <v>46223</v>
      </c>
      <c r="F153" t="inlineStr">
        <is>
          <t>VÄSTRA GÖTALANDS LÄN</t>
        </is>
      </c>
      <c r="G153" t="inlineStr">
        <is>
          <t>ÅMÅL</t>
        </is>
      </c>
      <c r="I153" t="n">
        <v>5.6</v>
      </c>
      <c r="J153" t="n">
        <v>0</v>
      </c>
      <c r="K153" t="n">
        <v>0</v>
      </c>
      <c r="L153" t="n">
        <v>0</v>
      </c>
      <c r="M153" t="n">
        <v>0</v>
      </c>
      <c r="N153" t="n">
        <v>0</v>
      </c>
      <c r="O153" t="n">
        <v>0</v>
      </c>
      <c r="P153" t="n">
        <v>0</v>
      </c>
      <c r="Q153" t="n">
        <v>0</v>
      </c>
      <c r="R153" t="n">
        <v>0</v>
      </c>
      <c r="S153" t="n">
        <v>0</v>
      </c>
      <c r="T153" t="n">
        <v>0</v>
      </c>
      <c r="U153" s="2" t="inlineStr"/>
    </row>
    <row r="154" ht="15" customHeight="1">
      <c r="A154" t="inlineStr">
        <is>
          <t>A 17686-2026</t>
        </is>
      </c>
      <c r="B154" t="inlineStr">
        <is>
          <t>avverkningsanmälan</t>
        </is>
      </c>
      <c r="C154" t="inlineStr">
        <is>
          <t>Föryngringsavverkning</t>
        </is>
      </c>
      <c r="D154" s="1" t="n">
        <v>46121</v>
      </c>
      <c r="E154" s="1" t="n">
        <v>46223</v>
      </c>
      <c r="F154" t="inlineStr">
        <is>
          <t>VÄSTRA GÖTALANDS LÄN</t>
        </is>
      </c>
      <c r="G154" t="inlineStr">
        <is>
          <t>ÅMÅL</t>
        </is>
      </c>
      <c r="H154" t="inlineStr">
        <is>
          <t>Bergvik skog väst AB</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46518-2024</t>
        </is>
      </c>
      <c r="B155" t="inlineStr">
        <is>
          <t>avverkningsanmälan</t>
        </is>
      </c>
      <c r="C155" t="inlineStr">
        <is>
          <t>Föryngringsavverkning</t>
        </is>
      </c>
      <c r="D155" s="1" t="n">
        <v>45582</v>
      </c>
      <c r="E155" s="1" t="n">
        <v>46223</v>
      </c>
      <c r="F155" t="inlineStr">
        <is>
          <t>VÄSTRA GÖTALANDS LÄN</t>
        </is>
      </c>
      <c r="G155" t="inlineStr">
        <is>
          <t>ÅMÅL</t>
        </is>
      </c>
      <c r="I155" t="n">
        <v>5.2</v>
      </c>
      <c r="J155" t="n">
        <v>0</v>
      </c>
      <c r="K155" t="n">
        <v>0</v>
      </c>
      <c r="L155" t="n">
        <v>0</v>
      </c>
      <c r="M155" t="n">
        <v>0</v>
      </c>
      <c r="N155" t="n">
        <v>0</v>
      </c>
      <c r="O155" t="n">
        <v>0</v>
      </c>
      <c r="P155" t="n">
        <v>0</v>
      </c>
      <c r="Q155" t="n">
        <v>0</v>
      </c>
      <c r="R155" t="n">
        <v>0</v>
      </c>
      <c r="S155" t="n">
        <v>0</v>
      </c>
      <c r="T155" t="n">
        <v>0</v>
      </c>
      <c r="U155" s="2" t="inlineStr"/>
    </row>
    <row r="156" ht="15" customHeight="1">
      <c r="A156" t="inlineStr">
        <is>
          <t>A 18970-2023</t>
        </is>
      </c>
      <c r="B156" t="inlineStr">
        <is>
          <t>avverkningsanmälan</t>
        </is>
      </c>
      <c r="C156" t="inlineStr">
        <is>
          <t>Föryngringsavverkning</t>
        </is>
      </c>
      <c r="D156" s="1" t="n">
        <v>45044</v>
      </c>
      <c r="E156" s="1" t="n">
        <v>46223</v>
      </c>
      <c r="F156" t="inlineStr">
        <is>
          <t>VÄSTRA GÖTALANDS LÄN</t>
        </is>
      </c>
      <c r="G156" t="inlineStr">
        <is>
          <t>ÅMÅL</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43113-2024</t>
        </is>
      </c>
      <c r="B157" t="inlineStr">
        <is>
          <t>avverkningsanmälan</t>
        </is>
      </c>
      <c r="C157" t="inlineStr">
        <is>
          <t>Föryngringsavverkning</t>
        </is>
      </c>
      <c r="D157" s="1" t="n">
        <v>45567</v>
      </c>
      <c r="E157" s="1" t="n">
        <v>46223</v>
      </c>
      <c r="F157" t="inlineStr">
        <is>
          <t>VÄSTRA GÖTALANDS LÄN</t>
        </is>
      </c>
      <c r="G157" t="inlineStr">
        <is>
          <t>ÅMÅL</t>
        </is>
      </c>
      <c r="I157" t="n">
        <v>8.699999999999999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54176-2024</t>
        </is>
      </c>
      <c r="B158" t="inlineStr">
        <is>
          <t>avverkningsanmälan</t>
        </is>
      </c>
      <c r="C158" t="inlineStr">
        <is>
          <t>Föryngringsavverkning</t>
        </is>
      </c>
      <c r="D158" s="1" t="n">
        <v>45616</v>
      </c>
      <c r="E158" s="1" t="n">
        <v>46223</v>
      </c>
      <c r="F158" t="inlineStr">
        <is>
          <t>VÄSTRA GÖTALANDS LÄN</t>
        </is>
      </c>
      <c r="G158" t="inlineStr">
        <is>
          <t>ÅMÅL</t>
        </is>
      </c>
      <c r="I158" t="n">
        <v>4.4</v>
      </c>
      <c r="J158" t="n">
        <v>0</v>
      </c>
      <c r="K158" t="n">
        <v>0</v>
      </c>
      <c r="L158" t="n">
        <v>0</v>
      </c>
      <c r="M158" t="n">
        <v>0</v>
      </c>
      <c r="N158" t="n">
        <v>0</v>
      </c>
      <c r="O158" t="n">
        <v>0</v>
      </c>
      <c r="P158" t="n">
        <v>0</v>
      </c>
      <c r="Q158" t="n">
        <v>0</v>
      </c>
      <c r="R158" t="n">
        <v>0</v>
      </c>
      <c r="S158" t="n">
        <v>0</v>
      </c>
      <c r="T158" t="n">
        <v>0</v>
      </c>
      <c r="U158" s="2" t="inlineStr"/>
    </row>
    <row r="159" ht="15" customHeight="1">
      <c r="A159" t="inlineStr">
        <is>
          <t>A 11910-2023</t>
        </is>
      </c>
      <c r="B159" t="inlineStr">
        <is>
          <t>avverkningsanmälan</t>
        </is>
      </c>
      <c r="C159" t="inlineStr">
        <is>
          <t>Föryngringsavverkning</t>
        </is>
      </c>
      <c r="D159" s="1" t="n">
        <v>44995</v>
      </c>
      <c r="E159" s="1" t="n">
        <v>46223</v>
      </c>
      <c r="F159" t="inlineStr">
        <is>
          <t>VÄSTRA GÖTALANDS LÄN</t>
        </is>
      </c>
      <c r="G159" t="inlineStr">
        <is>
          <t>ÅMÅL</t>
        </is>
      </c>
      <c r="I159" t="n">
        <v>9.4</v>
      </c>
      <c r="J159" t="n">
        <v>0</v>
      </c>
      <c r="K159" t="n">
        <v>0</v>
      </c>
      <c r="L159" t="n">
        <v>0</v>
      </c>
      <c r="M159" t="n">
        <v>0</v>
      </c>
      <c r="N159" t="n">
        <v>0</v>
      </c>
      <c r="O159" t="n">
        <v>0</v>
      </c>
      <c r="P159" t="n">
        <v>0</v>
      </c>
      <c r="Q159" t="n">
        <v>0</v>
      </c>
      <c r="R159" t="n">
        <v>0</v>
      </c>
      <c r="S159" t="n">
        <v>0</v>
      </c>
      <c r="T159" t="n">
        <v>0</v>
      </c>
      <c r="U159" s="2" t="inlineStr"/>
    </row>
    <row r="160" ht="15" customHeight="1">
      <c r="A160" t="inlineStr">
        <is>
          <t>A 45313-2023</t>
        </is>
      </c>
      <c r="B160" t="inlineStr">
        <is>
          <t>avverkningsanmälan</t>
        </is>
      </c>
      <c r="C160" t="inlineStr">
        <is>
          <t>Föryngringsavverkning</t>
        </is>
      </c>
      <c r="D160" s="1" t="n">
        <v>45191</v>
      </c>
      <c r="E160" s="1" t="n">
        <v>46223</v>
      </c>
      <c r="F160" t="inlineStr">
        <is>
          <t>VÄSTRA GÖTALANDS LÄN</t>
        </is>
      </c>
      <c r="G160" t="inlineStr">
        <is>
          <t>ÅMÅL</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16830-2023</t>
        </is>
      </c>
      <c r="B161" t="inlineStr">
        <is>
          <t>avverkningsanmälan</t>
        </is>
      </c>
      <c r="C161" t="inlineStr">
        <is>
          <t>Föryngringsavverkning</t>
        </is>
      </c>
      <c r="D161" s="1" t="n">
        <v>45029</v>
      </c>
      <c r="E161" s="1" t="n">
        <v>46223</v>
      </c>
      <c r="F161" t="inlineStr">
        <is>
          <t>VÄSTRA GÖTALANDS LÄN</t>
        </is>
      </c>
      <c r="G161" t="inlineStr">
        <is>
          <t>ÅMÅL</t>
        </is>
      </c>
      <c r="H161" t="inlineStr">
        <is>
          <t>Bergvik skog väst AB</t>
        </is>
      </c>
      <c r="I161" t="n">
        <v>3.5</v>
      </c>
      <c r="J161" t="n">
        <v>0</v>
      </c>
      <c r="K161" t="n">
        <v>0</v>
      </c>
      <c r="L161" t="n">
        <v>0</v>
      </c>
      <c r="M161" t="n">
        <v>0</v>
      </c>
      <c r="N161" t="n">
        <v>0</v>
      </c>
      <c r="O161" t="n">
        <v>0</v>
      </c>
      <c r="P161" t="n">
        <v>0</v>
      </c>
      <c r="Q161" t="n">
        <v>0</v>
      </c>
      <c r="R161" t="n">
        <v>0</v>
      </c>
      <c r="S161" t="n">
        <v>0</v>
      </c>
      <c r="T161" t="n">
        <v>0</v>
      </c>
      <c r="U161" s="2" t="inlineStr"/>
    </row>
    <row r="162" ht="15" customHeight="1">
      <c r="A162" t="inlineStr">
        <is>
          <t>A 73273-2021</t>
        </is>
      </c>
      <c r="B162" t="inlineStr">
        <is>
          <t>avverkningsanmälan</t>
        </is>
      </c>
      <c r="C162" t="inlineStr">
        <is>
          <t>Föryngringsavverkning</t>
        </is>
      </c>
      <c r="D162" s="1" t="n">
        <v>44550</v>
      </c>
      <c r="E162" s="1" t="n">
        <v>46223</v>
      </c>
      <c r="F162" t="inlineStr">
        <is>
          <t>VÄSTRA GÖTALANDS LÄN</t>
        </is>
      </c>
      <c r="G162" t="inlineStr">
        <is>
          <t>ÅMÅL</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70328-2021</t>
        </is>
      </c>
      <c r="B163" t="inlineStr">
        <is>
          <t>avverkningsanmälan</t>
        </is>
      </c>
      <c r="C163" t="inlineStr">
        <is>
          <t>Föryngringsavverkning</t>
        </is>
      </c>
      <c r="D163" s="1" t="n">
        <v>44536</v>
      </c>
      <c r="E163" s="1" t="n">
        <v>46223</v>
      </c>
      <c r="F163" t="inlineStr">
        <is>
          <t>VÄSTRA GÖTALANDS LÄN</t>
        </is>
      </c>
      <c r="G163" t="inlineStr">
        <is>
          <t>ÅMÅL</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54181-2024</t>
        </is>
      </c>
      <c r="B164" t="inlineStr">
        <is>
          <t>avverkningsanmälan</t>
        </is>
      </c>
      <c r="C164" t="inlineStr">
        <is>
          <t>Föryngringsavverkning</t>
        </is>
      </c>
      <c r="D164" s="1" t="n">
        <v>45616</v>
      </c>
      <c r="E164" s="1" t="n">
        <v>46223</v>
      </c>
      <c r="F164" t="inlineStr">
        <is>
          <t>VÄSTRA GÖTALANDS LÄN</t>
        </is>
      </c>
      <c r="G164" t="inlineStr">
        <is>
          <t>ÅMÅL</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7764-2025</t>
        </is>
      </c>
      <c r="B165" t="inlineStr">
        <is>
          <t>avverkningsanmälan</t>
        </is>
      </c>
      <c r="C165" t="inlineStr">
        <is>
          <t>Föryngringsavverkning</t>
        </is>
      </c>
      <c r="D165" s="1" t="n">
        <v>45706</v>
      </c>
      <c r="E165" s="1" t="n">
        <v>46223</v>
      </c>
      <c r="F165" t="inlineStr">
        <is>
          <t>VÄSTRA GÖTALANDS LÄN</t>
        </is>
      </c>
      <c r="G165" t="inlineStr">
        <is>
          <t>ÅMÅL</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47692-2024</t>
        </is>
      </c>
      <c r="B166" t="inlineStr">
        <is>
          <t>avverkningsanmälan</t>
        </is>
      </c>
      <c r="C166" t="inlineStr">
        <is>
          <t>Föryngringsavverkning</t>
        </is>
      </c>
      <c r="D166" s="1" t="n">
        <v>45588</v>
      </c>
      <c r="E166" s="1" t="n">
        <v>46223</v>
      </c>
      <c r="F166" t="inlineStr">
        <is>
          <t>VÄSTRA GÖTALANDS LÄN</t>
        </is>
      </c>
      <c r="G166" t="inlineStr">
        <is>
          <t>ÅMÅL</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47702-2024</t>
        </is>
      </c>
      <c r="B167" t="inlineStr">
        <is>
          <t>avverkningsanmälan</t>
        </is>
      </c>
      <c r="C167" t="inlineStr">
        <is>
          <t>Föryngringsavverkning</t>
        </is>
      </c>
      <c r="D167" s="1" t="n">
        <v>45588</v>
      </c>
      <c r="E167" s="1" t="n">
        <v>46223</v>
      </c>
      <c r="F167" t="inlineStr">
        <is>
          <t>VÄSTRA GÖTALANDS LÄN</t>
        </is>
      </c>
      <c r="G167" t="inlineStr">
        <is>
          <t>ÅMÅL</t>
        </is>
      </c>
      <c r="I167" t="n">
        <v>2.4</v>
      </c>
      <c r="J167" t="n">
        <v>0</v>
      </c>
      <c r="K167" t="n">
        <v>0</v>
      </c>
      <c r="L167" t="n">
        <v>0</v>
      </c>
      <c r="M167" t="n">
        <v>0</v>
      </c>
      <c r="N167" t="n">
        <v>0</v>
      </c>
      <c r="O167" t="n">
        <v>0</v>
      </c>
      <c r="P167" t="n">
        <v>0</v>
      </c>
      <c r="Q167" t="n">
        <v>0</v>
      </c>
      <c r="R167" t="n">
        <v>0</v>
      </c>
      <c r="S167" t="n">
        <v>0</v>
      </c>
      <c r="T167" t="n">
        <v>0</v>
      </c>
      <c r="U167" s="2" t="inlineStr"/>
    </row>
    <row r="168" ht="15" customHeight="1">
      <c r="A168" t="inlineStr">
        <is>
          <t>A 57296-2024</t>
        </is>
      </c>
      <c r="B168" t="inlineStr">
        <is>
          <t>avverkningsanmälan</t>
        </is>
      </c>
      <c r="C168" t="inlineStr">
        <is>
          <t>Föryngringsavverkning</t>
        </is>
      </c>
      <c r="D168" s="1" t="n">
        <v>45629</v>
      </c>
      <c r="E168" s="1" t="n">
        <v>46223</v>
      </c>
      <c r="F168" t="inlineStr">
        <is>
          <t>VÄSTRA GÖTALANDS LÄN</t>
        </is>
      </c>
      <c r="G168" t="inlineStr">
        <is>
          <t>ÅMÅL</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22168-2023</t>
        </is>
      </c>
      <c r="B169" t="inlineStr">
        <is>
          <t>avverkningsanmälan</t>
        </is>
      </c>
      <c r="C169" t="inlineStr">
        <is>
          <t>Föryngringsavverkning</t>
        </is>
      </c>
      <c r="D169" s="1" t="n">
        <v>45065</v>
      </c>
      <c r="E169" s="1" t="n">
        <v>46223</v>
      </c>
      <c r="F169" t="inlineStr">
        <is>
          <t>VÄSTRA GÖTALANDS LÄN</t>
        </is>
      </c>
      <c r="G169" t="inlineStr">
        <is>
          <t>ÅMÅL</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55317-2024</t>
        </is>
      </c>
      <c r="B170" t="inlineStr">
        <is>
          <t>avverkningsanmälan</t>
        </is>
      </c>
      <c r="C170" t="inlineStr">
        <is>
          <t>Föryngringsavverkning</t>
        </is>
      </c>
      <c r="D170" s="1" t="n">
        <v>45621</v>
      </c>
      <c r="E170" s="1" t="n">
        <v>46223</v>
      </c>
      <c r="F170" t="inlineStr">
        <is>
          <t>VÄSTRA GÖTALANDS LÄN</t>
        </is>
      </c>
      <c r="G170" t="inlineStr">
        <is>
          <t>ÅMÅL</t>
        </is>
      </c>
      <c r="I170" t="n">
        <v>5.7</v>
      </c>
      <c r="J170" t="n">
        <v>0</v>
      </c>
      <c r="K170" t="n">
        <v>0</v>
      </c>
      <c r="L170" t="n">
        <v>0</v>
      </c>
      <c r="M170" t="n">
        <v>0</v>
      </c>
      <c r="N170" t="n">
        <v>0</v>
      </c>
      <c r="O170" t="n">
        <v>0</v>
      </c>
      <c r="P170" t="n">
        <v>0</v>
      </c>
      <c r="Q170" t="n">
        <v>0</v>
      </c>
      <c r="R170" t="n">
        <v>0</v>
      </c>
      <c r="S170" t="n">
        <v>0</v>
      </c>
      <c r="T170" t="n">
        <v>0</v>
      </c>
      <c r="U170" s="2" t="inlineStr"/>
    </row>
    <row r="171" ht="15" customHeight="1">
      <c r="A171" t="inlineStr">
        <is>
          <t>A 32037-2023</t>
        </is>
      </c>
      <c r="B171" t="inlineStr">
        <is>
          <t>avverkningsanmälan</t>
        </is>
      </c>
      <c r="C171" t="inlineStr">
        <is>
          <t>Föryngringsavverkning</t>
        </is>
      </c>
      <c r="D171" s="1" t="n">
        <v>45119</v>
      </c>
      <c r="E171" s="1" t="n">
        <v>46223</v>
      </c>
      <c r="F171" t="inlineStr">
        <is>
          <t>VÄSTRA GÖTALANDS LÄN</t>
        </is>
      </c>
      <c r="G171" t="inlineStr">
        <is>
          <t>ÅMÅL</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23670-2025</t>
        </is>
      </c>
      <c r="B172" t="inlineStr">
        <is>
          <t>avverkningsanmälan</t>
        </is>
      </c>
      <c r="C172" t="inlineStr">
        <is>
          <t>Föryngringsavverkning</t>
        </is>
      </c>
      <c r="D172" s="1" t="n">
        <v>45792</v>
      </c>
      <c r="E172" s="1" t="n">
        <v>46223</v>
      </c>
      <c r="F172" t="inlineStr">
        <is>
          <t>VÄSTRA GÖTALANDS LÄN</t>
        </is>
      </c>
      <c r="G172" t="inlineStr">
        <is>
          <t>ÅMÅL</t>
        </is>
      </c>
      <c r="I172" t="n">
        <v>2.5</v>
      </c>
      <c r="J172" t="n">
        <v>0</v>
      </c>
      <c r="K172" t="n">
        <v>0</v>
      </c>
      <c r="L172" t="n">
        <v>0</v>
      </c>
      <c r="M172" t="n">
        <v>0</v>
      </c>
      <c r="N172" t="n">
        <v>0</v>
      </c>
      <c r="O172" t="n">
        <v>0</v>
      </c>
      <c r="P172" t="n">
        <v>0</v>
      </c>
      <c r="Q172" t="n">
        <v>0</v>
      </c>
      <c r="R172" t="n">
        <v>0</v>
      </c>
      <c r="S172" t="n">
        <v>0</v>
      </c>
      <c r="T172" t="n">
        <v>0</v>
      </c>
      <c r="U172" s="2" t="inlineStr"/>
    </row>
    <row r="173" ht="15" customHeight="1">
      <c r="A173" t="inlineStr">
        <is>
          <t>A 57298-2024</t>
        </is>
      </c>
      <c r="B173" t="inlineStr">
        <is>
          <t>avverkningsanmälan</t>
        </is>
      </c>
      <c r="C173" t="inlineStr">
        <is>
          <t>Föryngringsavverkning</t>
        </is>
      </c>
      <c r="D173" s="1" t="n">
        <v>45629</v>
      </c>
      <c r="E173" s="1" t="n">
        <v>46223</v>
      </c>
      <c r="F173" t="inlineStr">
        <is>
          <t>VÄSTRA GÖTALANDS LÄN</t>
        </is>
      </c>
      <c r="G173" t="inlineStr">
        <is>
          <t>ÅMÅL</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54867-2023</t>
        </is>
      </c>
      <c r="B174" t="inlineStr">
        <is>
          <t>avverkningsanmälan</t>
        </is>
      </c>
      <c r="C174" t="inlineStr">
        <is>
          <t>Föryngringsavverkning</t>
        </is>
      </c>
      <c r="D174" s="1" t="n">
        <v>45229</v>
      </c>
      <c r="E174" s="1" t="n">
        <v>46223</v>
      </c>
      <c r="F174" t="inlineStr">
        <is>
          <t>VÄSTRA GÖTALANDS LÄN</t>
        </is>
      </c>
      <c r="G174" t="inlineStr">
        <is>
          <t>ÅMÅL</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27831-2023</t>
        </is>
      </c>
      <c r="B175" t="inlineStr">
        <is>
          <t>avverkningsanmälan</t>
        </is>
      </c>
      <c r="C175" t="inlineStr">
        <is>
          <t>Föryngringsavverkning</t>
        </is>
      </c>
      <c r="D175" s="1" t="n">
        <v>45098</v>
      </c>
      <c r="E175" s="1" t="n">
        <v>46223</v>
      </c>
      <c r="F175" t="inlineStr">
        <is>
          <t>VÄSTRA GÖTALANDS LÄN</t>
        </is>
      </c>
      <c r="G175" t="inlineStr">
        <is>
          <t>ÅMÅL</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58097-2023</t>
        </is>
      </c>
      <c r="B176" t="inlineStr">
        <is>
          <t>avverkningsanmälan</t>
        </is>
      </c>
      <c r="C176" t="inlineStr">
        <is>
          <t>Föryngringsavverkning</t>
        </is>
      </c>
      <c r="D176" s="1" t="n">
        <v>45248</v>
      </c>
      <c r="E176" s="1" t="n">
        <v>46223</v>
      </c>
      <c r="F176" t="inlineStr">
        <is>
          <t>VÄSTRA GÖTALANDS LÄN</t>
        </is>
      </c>
      <c r="G176" t="inlineStr">
        <is>
          <t>ÅMÅL</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25748-2025</t>
        </is>
      </c>
      <c r="B177" t="inlineStr">
        <is>
          <t>avverkningsanmälan</t>
        </is>
      </c>
      <c r="C177" t="inlineStr">
        <is>
          <t>Föryngringsavverkning</t>
        </is>
      </c>
      <c r="D177" s="1" t="n">
        <v>45800</v>
      </c>
      <c r="E177" s="1" t="n">
        <v>46223</v>
      </c>
      <c r="F177" t="inlineStr">
        <is>
          <t>VÄSTRA GÖTALANDS LÄN</t>
        </is>
      </c>
      <c r="G177" t="inlineStr">
        <is>
          <t>ÅMÅL</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25751-2025</t>
        </is>
      </c>
      <c r="B178" t="inlineStr">
        <is>
          <t>avverkningsanmälan</t>
        </is>
      </c>
      <c r="C178" t="inlineStr">
        <is>
          <t>Föryngringsavverkning</t>
        </is>
      </c>
      <c r="D178" s="1" t="n">
        <v>45800</v>
      </c>
      <c r="E178" s="1" t="n">
        <v>46223</v>
      </c>
      <c r="F178" t="inlineStr">
        <is>
          <t>VÄSTRA GÖTALANDS LÄN</t>
        </is>
      </c>
      <c r="G178" t="inlineStr">
        <is>
          <t>ÅMÅL</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45019-2025</t>
        </is>
      </c>
      <c r="B179" t="inlineStr">
        <is>
          <t>avverkningsanmälan</t>
        </is>
      </c>
      <c r="C179" t="inlineStr">
        <is>
          <t>Föryngringsavverkning</t>
        </is>
      </c>
      <c r="D179" s="1" t="n">
        <v>45918</v>
      </c>
      <c r="E179" s="1" t="n">
        <v>46223</v>
      </c>
      <c r="F179" t="inlineStr">
        <is>
          <t>VÄSTRA GÖTALANDS LÄN</t>
        </is>
      </c>
      <c r="G179" t="inlineStr">
        <is>
          <t>ÅMÅL</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25822-2025</t>
        </is>
      </c>
      <c r="B180" t="inlineStr">
        <is>
          <t>avverkningsanmälan</t>
        </is>
      </c>
      <c r="C180" t="inlineStr">
        <is>
          <t>Föryngringsavverkning</t>
        </is>
      </c>
      <c r="D180" s="1" t="n">
        <v>45804</v>
      </c>
      <c r="E180" s="1" t="n">
        <v>46223</v>
      </c>
      <c r="F180" t="inlineStr">
        <is>
          <t>VÄSTRA GÖTALANDS LÄN</t>
        </is>
      </c>
      <c r="G180" t="inlineStr">
        <is>
          <t>ÅMÅL</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49373-2025</t>
        </is>
      </c>
      <c r="B181" t="inlineStr">
        <is>
          <t>avverkningsanmälan</t>
        </is>
      </c>
      <c r="C181" t="inlineStr">
        <is>
          <t>Föryngringsavverkning</t>
        </is>
      </c>
      <c r="D181" s="1" t="n">
        <v>45938</v>
      </c>
      <c r="E181" s="1" t="n">
        <v>46223</v>
      </c>
      <c r="F181" t="inlineStr">
        <is>
          <t>VÄSTRA GÖTALANDS LÄN</t>
        </is>
      </c>
      <c r="G181" t="inlineStr">
        <is>
          <t>ÅMÅL</t>
        </is>
      </c>
      <c r="I181" t="n">
        <v>8.199999999999999</v>
      </c>
      <c r="J181" t="n">
        <v>0</v>
      </c>
      <c r="K181" t="n">
        <v>0</v>
      </c>
      <c r="L181" t="n">
        <v>0</v>
      </c>
      <c r="M181" t="n">
        <v>0</v>
      </c>
      <c r="N181" t="n">
        <v>0</v>
      </c>
      <c r="O181" t="n">
        <v>0</v>
      </c>
      <c r="P181" t="n">
        <v>0</v>
      </c>
      <c r="Q181" t="n">
        <v>0</v>
      </c>
      <c r="R181" t="n">
        <v>0</v>
      </c>
      <c r="S181" t="n">
        <v>0</v>
      </c>
      <c r="T181" t="n">
        <v>0</v>
      </c>
      <c r="U181" s="2" t="inlineStr"/>
    </row>
    <row r="182" ht="15" customHeight="1">
      <c r="A182" t="inlineStr">
        <is>
          <t>A 43833-2025</t>
        </is>
      </c>
      <c r="B182" t="inlineStr">
        <is>
          <t>avverkningsanmälan</t>
        </is>
      </c>
      <c r="C182" t="inlineStr">
        <is>
          <t>Föryngringsavverkning</t>
        </is>
      </c>
      <c r="D182" s="1" t="n">
        <v>45912</v>
      </c>
      <c r="E182" s="1" t="n">
        <v>46223</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29509-2025</t>
        </is>
      </c>
      <c r="B183" t="inlineStr">
        <is>
          <t>avverkningsanmälan</t>
        </is>
      </c>
      <c r="C183" t="inlineStr">
        <is>
          <t>Föryngringsavverkning</t>
        </is>
      </c>
      <c r="D183" s="1" t="n">
        <v>45825</v>
      </c>
      <c r="E183" s="1" t="n">
        <v>46223</v>
      </c>
      <c r="F183" t="inlineStr">
        <is>
          <t>VÄSTRA GÖTALANDS LÄN</t>
        </is>
      </c>
      <c r="G183" t="inlineStr">
        <is>
          <t>ÅMÅL</t>
        </is>
      </c>
      <c r="I183" t="n">
        <v>5.3</v>
      </c>
      <c r="J183" t="n">
        <v>0</v>
      </c>
      <c r="K183" t="n">
        <v>0</v>
      </c>
      <c r="L183" t="n">
        <v>0</v>
      </c>
      <c r="M183" t="n">
        <v>0</v>
      </c>
      <c r="N183" t="n">
        <v>0</v>
      </c>
      <c r="O183" t="n">
        <v>0</v>
      </c>
      <c r="P183" t="n">
        <v>0</v>
      </c>
      <c r="Q183" t="n">
        <v>0</v>
      </c>
      <c r="R183" t="n">
        <v>0</v>
      </c>
      <c r="S183" t="n">
        <v>0</v>
      </c>
      <c r="T183" t="n">
        <v>0</v>
      </c>
      <c r="U183" s="2" t="inlineStr"/>
    </row>
    <row r="184" ht="15" customHeight="1">
      <c r="A184" t="inlineStr">
        <is>
          <t>A 11963-2026</t>
        </is>
      </c>
      <c r="B184" t="inlineStr">
        <is>
          <t>avverkningsanmälan</t>
        </is>
      </c>
      <c r="C184" t="inlineStr">
        <is>
          <t>Föryngringsavverkning</t>
        </is>
      </c>
      <c r="D184" s="1" t="n">
        <v>46085</v>
      </c>
      <c r="E184" s="1" t="n">
        <v>46223</v>
      </c>
      <c r="F184" t="inlineStr">
        <is>
          <t>VÄSTRA GÖTALANDS LÄN</t>
        </is>
      </c>
      <c r="G184" t="inlineStr">
        <is>
          <t>ÅMÅL</t>
        </is>
      </c>
      <c r="I184" t="n">
        <v>7.5</v>
      </c>
      <c r="J184" t="n">
        <v>0</v>
      </c>
      <c r="K184" t="n">
        <v>0</v>
      </c>
      <c r="L184" t="n">
        <v>0</v>
      </c>
      <c r="M184" t="n">
        <v>0</v>
      </c>
      <c r="N184" t="n">
        <v>0</v>
      </c>
      <c r="O184" t="n">
        <v>0</v>
      </c>
      <c r="P184" t="n">
        <v>0</v>
      </c>
      <c r="Q184" t="n">
        <v>0</v>
      </c>
      <c r="R184" t="n">
        <v>0</v>
      </c>
      <c r="S184" t="n">
        <v>0</v>
      </c>
      <c r="T184" t="n">
        <v>0</v>
      </c>
      <c r="U184" s="2" t="inlineStr"/>
    </row>
    <row r="185" ht="15" customHeight="1">
      <c r="A185" t="inlineStr">
        <is>
          <t>A 28703-2022</t>
        </is>
      </c>
      <c r="B185" t="inlineStr">
        <is>
          <t>avverkningsanmälan</t>
        </is>
      </c>
      <c r="C185" t="inlineStr">
        <is>
          <t>Föryngringsavverkning</t>
        </is>
      </c>
      <c r="D185" s="1" t="n">
        <v>44748</v>
      </c>
      <c r="E185" s="1" t="n">
        <v>46223</v>
      </c>
      <c r="F185" t="inlineStr">
        <is>
          <t>VÄSTRA GÖTALANDS LÄN</t>
        </is>
      </c>
      <c r="G185" t="inlineStr">
        <is>
          <t>ÅMÅL</t>
        </is>
      </c>
      <c r="I185" t="n">
        <v>3.3</v>
      </c>
      <c r="J185" t="n">
        <v>0</v>
      </c>
      <c r="K185" t="n">
        <v>0</v>
      </c>
      <c r="L185" t="n">
        <v>0</v>
      </c>
      <c r="M185" t="n">
        <v>0</v>
      </c>
      <c r="N185" t="n">
        <v>0</v>
      </c>
      <c r="O185" t="n">
        <v>0</v>
      </c>
      <c r="P185" t="n">
        <v>0</v>
      </c>
      <c r="Q185" t="n">
        <v>0</v>
      </c>
      <c r="R185" t="n">
        <v>0</v>
      </c>
      <c r="S185" t="n">
        <v>0</v>
      </c>
      <c r="T185" t="n">
        <v>0</v>
      </c>
      <c r="U185" s="2" t="inlineStr"/>
    </row>
    <row r="186" ht="15" customHeight="1">
      <c r="A186" t="inlineStr">
        <is>
          <t>A 20630-2026</t>
        </is>
      </c>
      <c r="B186" t="inlineStr">
        <is>
          <t>avverkningsanmälan</t>
        </is>
      </c>
      <c r="C186" t="inlineStr">
        <is>
          <t>Föryngringsavverkning</t>
        </is>
      </c>
      <c r="D186" s="1" t="n">
        <v>46141</v>
      </c>
      <c r="E186" s="1" t="n">
        <v>46223</v>
      </c>
      <c r="F186" t="inlineStr">
        <is>
          <t>VÄSTRA GÖTALANDS LÄN</t>
        </is>
      </c>
      <c r="G186" t="inlineStr">
        <is>
          <t>ÅMÅL</t>
        </is>
      </c>
      <c r="H186" t="inlineStr">
        <is>
          <t>Kommuner</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1282-2024</t>
        </is>
      </c>
      <c r="B187" t="inlineStr">
        <is>
          <t>avverkningsanmälan</t>
        </is>
      </c>
      <c r="C187" t="inlineStr">
        <is>
          <t>Föryngringsavverkning</t>
        </is>
      </c>
      <c r="D187" s="1" t="n">
        <v>45303</v>
      </c>
      <c r="E187" s="1" t="n">
        <v>46223</v>
      </c>
      <c r="F187" t="inlineStr">
        <is>
          <t>VÄSTRA GÖTALANDS LÄN</t>
        </is>
      </c>
      <c r="G187" t="inlineStr">
        <is>
          <t>ÅMÅL</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23185-2024</t>
        </is>
      </c>
      <c r="B188" t="inlineStr">
        <is>
          <t>avverkningsanmälan</t>
        </is>
      </c>
      <c r="C188" t="inlineStr">
        <is>
          <t>Föryngringsavverkning</t>
        </is>
      </c>
      <c r="D188" s="1" t="n">
        <v>45450</v>
      </c>
      <c r="E188" s="1" t="n">
        <v>46223</v>
      </c>
      <c r="F188" t="inlineStr">
        <is>
          <t>VÄSTRA GÖTALANDS LÄN</t>
        </is>
      </c>
      <c r="G188" t="inlineStr">
        <is>
          <t>ÅMÅL</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4976-2023</t>
        </is>
      </c>
      <c r="B189" t="inlineStr">
        <is>
          <t>avverkningsanmälan</t>
        </is>
      </c>
      <c r="C189" t="inlineStr">
        <is>
          <t>Föryngringsavverkning</t>
        </is>
      </c>
      <c r="D189" s="1" t="n">
        <v>44958</v>
      </c>
      <c r="E189" s="1" t="n">
        <v>46223</v>
      </c>
      <c r="F189" t="inlineStr">
        <is>
          <t>VÄSTRA GÖTALANDS LÄN</t>
        </is>
      </c>
      <c r="G189" t="inlineStr">
        <is>
          <t>ÅMÅL</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705-2024</t>
        </is>
      </c>
      <c r="B190" t="inlineStr">
        <is>
          <t>avverkningsanmälan</t>
        </is>
      </c>
      <c r="C190" t="inlineStr">
        <is>
          <t>Föryngringsavverkning</t>
        </is>
      </c>
      <c r="D190" s="1" t="n">
        <v>45300</v>
      </c>
      <c r="E190" s="1" t="n">
        <v>46223</v>
      </c>
      <c r="F190" t="inlineStr">
        <is>
          <t>VÄSTRA GÖTALANDS LÄN</t>
        </is>
      </c>
      <c r="G190" t="inlineStr">
        <is>
          <t>ÅMÅL</t>
        </is>
      </c>
      <c r="H190" t="inlineStr">
        <is>
          <t>Kyrkan</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22126-2026</t>
        </is>
      </c>
      <c r="B191" t="inlineStr">
        <is>
          <t>avverkningsanmälan</t>
        </is>
      </c>
      <c r="C191" t="inlineStr">
        <is>
          <t>Föryngringsavverkning</t>
        </is>
      </c>
      <c r="D191" s="1" t="n">
        <v>46153</v>
      </c>
      <c r="E191" s="1" t="n">
        <v>46223</v>
      </c>
      <c r="F191" t="inlineStr">
        <is>
          <t>VÄSTRA GÖTALANDS LÄN</t>
        </is>
      </c>
      <c r="G191" t="inlineStr">
        <is>
          <t>ÅMÅL</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34532-2023</t>
        </is>
      </c>
      <c r="B192" t="inlineStr">
        <is>
          <t>avverkningsanmälan</t>
        </is>
      </c>
      <c r="C192" t="inlineStr">
        <is>
          <t>Föryngringsavverkning</t>
        </is>
      </c>
      <c r="D192" s="1" t="n">
        <v>45140</v>
      </c>
      <c r="E192" s="1" t="n">
        <v>46223</v>
      </c>
      <c r="F192" t="inlineStr">
        <is>
          <t>VÄSTRA GÖTALANDS LÄN</t>
        </is>
      </c>
      <c r="G192" t="inlineStr">
        <is>
          <t>ÅMÅL</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51257-2022</t>
        </is>
      </c>
      <c r="B193" t="inlineStr">
        <is>
          <t>avverkningsanmälan</t>
        </is>
      </c>
      <c r="C193" t="inlineStr">
        <is>
          <t>Föryngringsavverkning</t>
        </is>
      </c>
      <c r="D193" s="1" t="n">
        <v>44866</v>
      </c>
      <c r="E193" s="1" t="n">
        <v>46223</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8307-2024</t>
        </is>
      </c>
      <c r="B194" t="inlineStr">
        <is>
          <t>avverkningsanmälan</t>
        </is>
      </c>
      <c r="C194" t="inlineStr">
        <is>
          <t>Föryngringsavverkning</t>
        </is>
      </c>
      <c r="D194" s="1" t="n">
        <v>45350</v>
      </c>
      <c r="E194" s="1" t="n">
        <v>46223</v>
      </c>
      <c r="F194" t="inlineStr">
        <is>
          <t>VÄSTRA GÖTALANDS LÄN</t>
        </is>
      </c>
      <c r="G194" t="inlineStr">
        <is>
          <t>ÅMÅL</t>
        </is>
      </c>
      <c r="H194" t="inlineStr">
        <is>
          <t>Bergvik skog väst AB</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3570-2025</t>
        </is>
      </c>
      <c r="B195" t="inlineStr">
        <is>
          <t>avverkningsanmälan</t>
        </is>
      </c>
      <c r="C195" t="inlineStr">
        <is>
          <t>Föryngringsavverkning</t>
        </is>
      </c>
      <c r="D195" s="1" t="n">
        <v>45680</v>
      </c>
      <c r="E195" s="1" t="n">
        <v>46223</v>
      </c>
      <c r="F195" t="inlineStr">
        <is>
          <t>VÄSTRA GÖTALANDS LÄN</t>
        </is>
      </c>
      <c r="G195" t="inlineStr">
        <is>
          <t>ÅMÅL</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53617-2022</t>
        </is>
      </c>
      <c r="B196" t="inlineStr">
        <is>
          <t>avverkningsanmälan</t>
        </is>
      </c>
      <c r="C196" t="inlineStr">
        <is>
          <t>Avverkning för annat ändamål</t>
        </is>
      </c>
      <c r="D196" s="1" t="n">
        <v>44879</v>
      </c>
      <c r="E196" s="1" t="n">
        <v>46223</v>
      </c>
      <c r="F196" t="inlineStr">
        <is>
          <t>VÄSTRA GÖTALANDS LÄN</t>
        </is>
      </c>
      <c r="G196" t="inlineStr">
        <is>
          <t>ÅMÅL</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11402-2023</t>
        </is>
      </c>
      <c r="B197" t="inlineStr">
        <is>
          <t>avverkningsanmälan</t>
        </is>
      </c>
      <c r="C197" t="inlineStr">
        <is>
          <t>Föryngringsavverkning</t>
        </is>
      </c>
      <c r="D197" s="1" t="n">
        <v>44993</v>
      </c>
      <c r="E197" s="1" t="n">
        <v>46223</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61814-2022</t>
        </is>
      </c>
      <c r="B198" t="inlineStr">
        <is>
          <t>avverkningsanmälan</t>
        </is>
      </c>
      <c r="C198" t="inlineStr">
        <is>
          <t>Föryngringsavverkning</t>
        </is>
      </c>
      <c r="D198" s="1" t="n">
        <v>44917</v>
      </c>
      <c r="E198" s="1" t="n">
        <v>46223</v>
      </c>
      <c r="F198" t="inlineStr">
        <is>
          <t>VÄSTRA GÖTALANDS LÄN</t>
        </is>
      </c>
      <c r="G198" t="inlineStr">
        <is>
          <t>ÅMÅL</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A 55256-2024</t>
        </is>
      </c>
      <c r="B199" t="inlineStr">
        <is>
          <t>avverkningsanmälan</t>
        </is>
      </c>
      <c r="C199" t="inlineStr">
        <is>
          <t>Föryngringsavverkning</t>
        </is>
      </c>
      <c r="D199" s="1" t="n">
        <v>45620</v>
      </c>
      <c r="E199" s="1" t="n">
        <v>46223</v>
      </c>
      <c r="F199" t="inlineStr">
        <is>
          <t>VÄSTRA GÖTALANDS LÄN</t>
        </is>
      </c>
      <c r="G199" t="inlineStr">
        <is>
          <t>ÅMÅL</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24096-2026</t>
        </is>
      </c>
      <c r="B200" t="inlineStr">
        <is>
          <t>avverkningsanmälan</t>
        </is>
      </c>
      <c r="C200" t="inlineStr">
        <is>
          <t>Föryngringsavverkning</t>
        </is>
      </c>
      <c r="D200" s="1" t="n">
        <v>46168</v>
      </c>
      <c r="E200" s="1" t="n">
        <v>46223</v>
      </c>
      <c r="F200" t="inlineStr">
        <is>
          <t>VÄSTRA GÖTALANDS LÄN</t>
        </is>
      </c>
      <c r="G200" t="inlineStr">
        <is>
          <t>ÅMÅL</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37812-2021</t>
        </is>
      </c>
      <c r="B201" t="inlineStr">
        <is>
          <t>avverkningsanmälan</t>
        </is>
      </c>
      <c r="C201" t="inlineStr">
        <is>
          <t>Avverkning för annat ändamål</t>
        </is>
      </c>
      <c r="D201" s="1" t="n">
        <v>44402</v>
      </c>
      <c r="E201" s="1" t="n">
        <v>46223</v>
      </c>
      <c r="F201" t="inlineStr">
        <is>
          <t>VÄSTRA GÖTALANDS LÄN</t>
        </is>
      </c>
      <c r="G201" t="inlineStr">
        <is>
          <t>ÅMÅL</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48276-2022</t>
        </is>
      </c>
      <c r="B202" t="inlineStr">
        <is>
          <t>avverkningsanmälan</t>
        </is>
      </c>
      <c r="C202" t="inlineStr">
        <is>
          <t>Föryngringsavverkning</t>
        </is>
      </c>
      <c r="D202" s="1" t="n">
        <v>44858</v>
      </c>
      <c r="E202" s="1" t="n">
        <v>46223</v>
      </c>
      <c r="F202" t="inlineStr">
        <is>
          <t>VÄSTRA GÖTALANDS LÄN</t>
        </is>
      </c>
      <c r="G202" t="inlineStr">
        <is>
          <t>ÅMÅL</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23133-2025</t>
        </is>
      </c>
      <c r="B203" t="inlineStr">
        <is>
          <t>avverkningsanmälan</t>
        </is>
      </c>
      <c r="C203" t="inlineStr">
        <is>
          <t>Föryngringsavverkning</t>
        </is>
      </c>
      <c r="D203" s="1" t="n">
        <v>45791</v>
      </c>
      <c r="E203" s="1" t="n">
        <v>46223</v>
      </c>
      <c r="F203" t="inlineStr">
        <is>
          <t>VÄSTRA GÖTALANDS LÄN</t>
        </is>
      </c>
      <c r="G203" t="inlineStr">
        <is>
          <t>ÅMÅL</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49146-2024</t>
        </is>
      </c>
      <c r="B204" t="inlineStr">
        <is>
          <t>avverkningsanmälan</t>
        </is>
      </c>
      <c r="C204" t="inlineStr">
        <is>
          <t>Föryngringsavverkning</t>
        </is>
      </c>
      <c r="D204" s="1" t="n">
        <v>45594</v>
      </c>
      <c r="E204" s="1" t="n">
        <v>46223</v>
      </c>
      <c r="F204" t="inlineStr">
        <is>
          <t>VÄSTRA GÖTALANDS LÄN</t>
        </is>
      </c>
      <c r="G204" t="inlineStr">
        <is>
          <t>ÅMÅL</t>
        </is>
      </c>
      <c r="I204" t="n">
        <v>8.1</v>
      </c>
      <c r="J204" t="n">
        <v>0</v>
      </c>
      <c r="K204" t="n">
        <v>0</v>
      </c>
      <c r="L204" t="n">
        <v>0</v>
      </c>
      <c r="M204" t="n">
        <v>0</v>
      </c>
      <c r="N204" t="n">
        <v>0</v>
      </c>
      <c r="O204" t="n">
        <v>0</v>
      </c>
      <c r="P204" t="n">
        <v>0</v>
      </c>
      <c r="Q204" t="n">
        <v>0</v>
      </c>
      <c r="R204" t="n">
        <v>0</v>
      </c>
      <c r="S204" t="n">
        <v>0</v>
      </c>
      <c r="T204" t="n">
        <v>0</v>
      </c>
      <c r="U204" s="2" t="inlineStr"/>
    </row>
    <row r="205" ht="15" customHeight="1">
      <c r="A205" t="inlineStr">
        <is>
          <t>A 40251-2024</t>
        </is>
      </c>
      <c r="B205" t="inlineStr">
        <is>
          <t>avverkningsanmälan</t>
        </is>
      </c>
      <c r="C205" t="inlineStr">
        <is>
          <t>Föryngringsavverkning</t>
        </is>
      </c>
      <c r="D205" s="1" t="n">
        <v>45554</v>
      </c>
      <c r="E205" s="1" t="n">
        <v>46223</v>
      </c>
      <c r="F205" t="inlineStr">
        <is>
          <t>VÄSTRA GÖTALANDS LÄN</t>
        </is>
      </c>
      <c r="G205" t="inlineStr">
        <is>
          <t>ÅMÅL</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11916-2023</t>
        </is>
      </c>
      <c r="B206" t="inlineStr">
        <is>
          <t>avverkningsanmälan</t>
        </is>
      </c>
      <c r="C206" t="inlineStr">
        <is>
          <t>Föryngringsavverkning</t>
        </is>
      </c>
      <c r="D206" s="1" t="n">
        <v>44995</v>
      </c>
      <c r="E206" s="1" t="n">
        <v>46223</v>
      </c>
      <c r="F206" t="inlineStr">
        <is>
          <t>VÄSTRA GÖTALANDS LÄN</t>
        </is>
      </c>
      <c r="G206" t="inlineStr">
        <is>
          <t>ÅMÅL</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39840-2021</t>
        </is>
      </c>
      <c r="B207" t="inlineStr">
        <is>
          <t>avverkningsanmälan</t>
        </is>
      </c>
      <c r="C207" t="inlineStr">
        <is>
          <t>Föryngringsavverkning</t>
        </is>
      </c>
      <c r="D207" s="1" t="n">
        <v>44417</v>
      </c>
      <c r="E207" s="1" t="n">
        <v>46223</v>
      </c>
      <c r="F207" t="inlineStr">
        <is>
          <t>VÄSTRA GÖTALANDS LÄN</t>
        </is>
      </c>
      <c r="G207" t="inlineStr">
        <is>
          <t>ÅMÅL</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29996-2023</t>
        </is>
      </c>
      <c r="B208" t="inlineStr">
        <is>
          <t>avverkningsanmälan</t>
        </is>
      </c>
      <c r="C208" t="inlineStr">
        <is>
          <t>Föryngringsavverkning</t>
        </is>
      </c>
      <c r="D208" s="1" t="n">
        <v>45109</v>
      </c>
      <c r="E208" s="1" t="n">
        <v>46223</v>
      </c>
      <c r="F208" t="inlineStr">
        <is>
          <t>VÄSTRA GÖTALANDS LÄN</t>
        </is>
      </c>
      <c r="G208" t="inlineStr">
        <is>
          <t>ÅMÅL</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41726-2024</t>
        </is>
      </c>
      <c r="B209" t="inlineStr">
        <is>
          <t>avverkningsanmälan</t>
        </is>
      </c>
      <c r="C209" t="inlineStr">
        <is>
          <t>Föryngringsavverkning</t>
        </is>
      </c>
      <c r="D209" s="1" t="n">
        <v>45560</v>
      </c>
      <c r="E209" s="1" t="n">
        <v>46223</v>
      </c>
      <c r="F209" t="inlineStr">
        <is>
          <t>VÄSTRA GÖTALANDS LÄN</t>
        </is>
      </c>
      <c r="G209" t="inlineStr">
        <is>
          <t>ÅMÅL</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28866-2022</t>
        </is>
      </c>
      <c r="B210" t="inlineStr">
        <is>
          <t>avverkningsanmälan</t>
        </is>
      </c>
      <c r="C210" t="inlineStr">
        <is>
          <t>Föryngringsavverkning</t>
        </is>
      </c>
      <c r="D210" s="1" t="n">
        <v>44749</v>
      </c>
      <c r="E210" s="1" t="n">
        <v>46223</v>
      </c>
      <c r="F210" t="inlineStr">
        <is>
          <t>VÄSTRA GÖTALANDS LÄN</t>
        </is>
      </c>
      <c r="G210" t="inlineStr">
        <is>
          <t>ÅMÅL</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30573-2023</t>
        </is>
      </c>
      <c r="B211" t="inlineStr">
        <is>
          <t>avverkningsanmälan</t>
        </is>
      </c>
      <c r="C211" t="inlineStr">
        <is>
          <t>Föryngringsavverkning</t>
        </is>
      </c>
      <c r="D211" s="1" t="n">
        <v>45111</v>
      </c>
      <c r="E211" s="1" t="n">
        <v>46223</v>
      </c>
      <c r="F211" t="inlineStr">
        <is>
          <t>VÄSTRA GÖTALANDS LÄN</t>
        </is>
      </c>
      <c r="G211" t="inlineStr">
        <is>
          <t>ÅMÅL</t>
        </is>
      </c>
      <c r="I211" t="n">
        <v>6.5</v>
      </c>
      <c r="J211" t="n">
        <v>0</v>
      </c>
      <c r="K211" t="n">
        <v>0</v>
      </c>
      <c r="L211" t="n">
        <v>0</v>
      </c>
      <c r="M211" t="n">
        <v>0</v>
      </c>
      <c r="N211" t="n">
        <v>0</v>
      </c>
      <c r="O211" t="n">
        <v>0</v>
      </c>
      <c r="P211" t="n">
        <v>0</v>
      </c>
      <c r="Q211" t="n">
        <v>0</v>
      </c>
      <c r="R211" t="n">
        <v>0</v>
      </c>
      <c r="S211" t="n">
        <v>0</v>
      </c>
      <c r="T211" t="n">
        <v>0</v>
      </c>
      <c r="U211" s="2" t="inlineStr"/>
    </row>
    <row r="212" ht="15" customHeight="1">
      <c r="A212" t="inlineStr">
        <is>
          <t>A 33221-2024</t>
        </is>
      </c>
      <c r="B212" t="inlineStr">
        <is>
          <t>avverkningsanmälan</t>
        </is>
      </c>
      <c r="C212" t="inlineStr">
        <is>
          <t>Föryngringsavverkning</t>
        </is>
      </c>
      <c r="D212" s="1" t="n">
        <v>45518</v>
      </c>
      <c r="E212" s="1" t="n">
        <v>46223</v>
      </c>
      <c r="F212" t="inlineStr">
        <is>
          <t>VÄSTRA GÖTALANDS LÄN</t>
        </is>
      </c>
      <c r="G212" t="inlineStr">
        <is>
          <t>ÅMÅL</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10951-2024</t>
        </is>
      </c>
      <c r="B213" t="inlineStr">
        <is>
          <t>avverkningsanmälan</t>
        </is>
      </c>
      <c r="C213" t="inlineStr">
        <is>
          <t>Föryngringsavverkning</t>
        </is>
      </c>
      <c r="D213" s="1" t="n">
        <v>45370</v>
      </c>
      <c r="E213" s="1" t="n">
        <v>46223</v>
      </c>
      <c r="F213" t="inlineStr">
        <is>
          <t>VÄSTRA GÖTALANDS LÄN</t>
        </is>
      </c>
      <c r="G213" t="inlineStr">
        <is>
          <t>ÅMÅL</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64859-2023</t>
        </is>
      </c>
      <c r="B214" t="inlineStr">
        <is>
          <t>avverkningsanmälan</t>
        </is>
      </c>
      <c r="C214" t="inlineStr">
        <is>
          <t>Föryngringsavverkning</t>
        </is>
      </c>
      <c r="D214" s="1" t="n">
        <v>45280</v>
      </c>
      <c r="E214" s="1" t="n">
        <v>46223</v>
      </c>
      <c r="F214" t="inlineStr">
        <is>
          <t>VÄSTRA GÖTALANDS LÄN</t>
        </is>
      </c>
      <c r="G214" t="inlineStr">
        <is>
          <t>ÅMÅL</t>
        </is>
      </c>
      <c r="H214" t="inlineStr">
        <is>
          <t>Bergvik skog väst AB</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28143-2023</t>
        </is>
      </c>
      <c r="B215" t="inlineStr">
        <is>
          <t>avverkningsanmälan</t>
        </is>
      </c>
      <c r="C215" t="inlineStr">
        <is>
          <t>Föryngringsavverkning</t>
        </is>
      </c>
      <c r="D215" s="1" t="n">
        <v>45099</v>
      </c>
      <c r="E215" s="1" t="n">
        <v>46223</v>
      </c>
      <c r="F215" t="inlineStr">
        <is>
          <t>VÄSTRA GÖTALANDS LÄN</t>
        </is>
      </c>
      <c r="G215" t="inlineStr">
        <is>
          <t>ÅMÅL</t>
        </is>
      </c>
      <c r="I215" t="n">
        <v>2.8</v>
      </c>
      <c r="J215" t="n">
        <v>0</v>
      </c>
      <c r="K215" t="n">
        <v>0</v>
      </c>
      <c r="L215" t="n">
        <v>0</v>
      </c>
      <c r="M215" t="n">
        <v>0</v>
      </c>
      <c r="N215" t="n">
        <v>0</v>
      </c>
      <c r="O215" t="n">
        <v>0</v>
      </c>
      <c r="P215" t="n">
        <v>0</v>
      </c>
      <c r="Q215" t="n">
        <v>0</v>
      </c>
      <c r="R215" t="n">
        <v>0</v>
      </c>
      <c r="S215" t="n">
        <v>0</v>
      </c>
      <c r="T215" t="n">
        <v>0</v>
      </c>
      <c r="U215" s="2" t="inlineStr"/>
    </row>
    <row r="216" ht="15" customHeight="1">
      <c r="A216" t="inlineStr">
        <is>
          <t>A 24527-2026</t>
        </is>
      </c>
      <c r="B216" t="inlineStr">
        <is>
          <t>avverkningsanmälan</t>
        </is>
      </c>
      <c r="C216" t="inlineStr">
        <is>
          <t>Föryngringsavverkning</t>
        </is>
      </c>
      <c r="D216" s="1" t="n">
        <v>46170</v>
      </c>
      <c r="E216" s="1" t="n">
        <v>46223</v>
      </c>
      <c r="F216" t="inlineStr">
        <is>
          <t>VÄSTRA GÖTALANDS LÄN</t>
        </is>
      </c>
      <c r="G216" t="inlineStr">
        <is>
          <t>ÅMÅL</t>
        </is>
      </c>
      <c r="I216" t="n">
        <v>6.8</v>
      </c>
      <c r="J216" t="n">
        <v>0</v>
      </c>
      <c r="K216" t="n">
        <v>0</v>
      </c>
      <c r="L216" t="n">
        <v>0</v>
      </c>
      <c r="M216" t="n">
        <v>0</v>
      </c>
      <c r="N216" t="n">
        <v>0</v>
      </c>
      <c r="O216" t="n">
        <v>0</v>
      </c>
      <c r="P216" t="n">
        <v>0</v>
      </c>
      <c r="Q216" t="n">
        <v>0</v>
      </c>
      <c r="R216" t="n">
        <v>0</v>
      </c>
      <c r="S216" t="n">
        <v>0</v>
      </c>
      <c r="T216" t="n">
        <v>0</v>
      </c>
      <c r="U216" s="2" t="inlineStr"/>
    </row>
    <row r="217" ht="15" customHeight="1">
      <c r="A217" t="inlineStr">
        <is>
          <t>A 9259-2024</t>
        </is>
      </c>
      <c r="B217" t="inlineStr">
        <is>
          <t>avverkningsanmälan</t>
        </is>
      </c>
      <c r="C217" t="inlineStr">
        <is>
          <t>Föryngringsavverkning</t>
        </is>
      </c>
      <c r="D217" s="1" t="n">
        <v>45358</v>
      </c>
      <c r="E217" s="1" t="n">
        <v>46223</v>
      </c>
      <c r="F217" t="inlineStr">
        <is>
          <t>VÄSTRA GÖTALANDS LÄN</t>
        </is>
      </c>
      <c r="G217" t="inlineStr">
        <is>
          <t>ÅMÅL</t>
        </is>
      </c>
      <c r="I217" t="n">
        <v>6.1</v>
      </c>
      <c r="J217" t="n">
        <v>0</v>
      </c>
      <c r="K217" t="n">
        <v>0</v>
      </c>
      <c r="L217" t="n">
        <v>0</v>
      </c>
      <c r="M217" t="n">
        <v>0</v>
      </c>
      <c r="N217" t="n">
        <v>0</v>
      </c>
      <c r="O217" t="n">
        <v>0</v>
      </c>
      <c r="P217" t="n">
        <v>0</v>
      </c>
      <c r="Q217" t="n">
        <v>0</v>
      </c>
      <c r="R217" t="n">
        <v>0</v>
      </c>
      <c r="S217" t="n">
        <v>0</v>
      </c>
      <c r="T217" t="n">
        <v>0</v>
      </c>
      <c r="U217" s="2" t="inlineStr"/>
    </row>
    <row r="218" ht="15" customHeight="1">
      <c r="A218" t="inlineStr">
        <is>
          <t>A 60148-2022</t>
        </is>
      </c>
      <c r="B218" t="inlineStr">
        <is>
          <t>avverkningsanmälan</t>
        </is>
      </c>
      <c r="C218" t="inlineStr">
        <is>
          <t>Föryngringsavverkning</t>
        </is>
      </c>
      <c r="D218" s="1" t="n">
        <v>44909</v>
      </c>
      <c r="E218" s="1" t="n">
        <v>46223</v>
      </c>
      <c r="F218" t="inlineStr">
        <is>
          <t>VÄSTRA GÖTALANDS LÄN</t>
        </is>
      </c>
      <c r="G218" t="inlineStr">
        <is>
          <t>ÅMÅL</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34112-2023</t>
        </is>
      </c>
      <c r="B219" t="inlineStr">
        <is>
          <t>avverkningsanmälan</t>
        </is>
      </c>
      <c r="C219" t="inlineStr">
        <is>
          <t>Föryngringsavverkning</t>
        </is>
      </c>
      <c r="D219" s="1" t="n">
        <v>45126</v>
      </c>
      <c r="E219" s="1" t="n">
        <v>46223</v>
      </c>
      <c r="F219" t="inlineStr">
        <is>
          <t>VÄSTRA GÖTALANDS LÄN</t>
        </is>
      </c>
      <c r="G219" t="inlineStr">
        <is>
          <t>ÅMÅL</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21324-2022</t>
        </is>
      </c>
      <c r="B220" t="inlineStr">
        <is>
          <t>avverkningsanmälan</t>
        </is>
      </c>
      <c r="C220" t="inlineStr">
        <is>
          <t>Föryngringsavverkning</t>
        </is>
      </c>
      <c r="D220" s="1" t="n">
        <v>44705</v>
      </c>
      <c r="E220" s="1" t="n">
        <v>46223</v>
      </c>
      <c r="F220" t="inlineStr">
        <is>
          <t>VÄSTRA GÖTALANDS LÄN</t>
        </is>
      </c>
      <c r="G220" t="inlineStr">
        <is>
          <t>ÅMÅL</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30767-2026</t>
        </is>
      </c>
      <c r="B221" t="inlineStr">
        <is>
          <t>avverkningsanmälan</t>
        </is>
      </c>
      <c r="C221" t="inlineStr">
        <is>
          <t>Föryngringsavverkning</t>
        </is>
      </c>
      <c r="D221" s="1" t="n">
        <v>46212</v>
      </c>
      <c r="E221" s="1" t="n">
        <v>46223</v>
      </c>
      <c r="F221" t="inlineStr">
        <is>
          <t>VÄSTRA GÖTALANDS LÄN</t>
        </is>
      </c>
      <c r="G221" t="inlineStr">
        <is>
          <t>ÅMÅL</t>
        </is>
      </c>
      <c r="H221" t="inlineStr">
        <is>
          <t>Kommuner</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34525-2023</t>
        </is>
      </c>
      <c r="B222" t="inlineStr">
        <is>
          <t>avverkningsanmälan</t>
        </is>
      </c>
      <c r="C222" t="inlineStr">
        <is>
          <t>Föryngringsavverkning</t>
        </is>
      </c>
      <c r="D222" s="1" t="n">
        <v>45140</v>
      </c>
      <c r="E222" s="1" t="n">
        <v>46223</v>
      </c>
      <c r="F222" t="inlineStr">
        <is>
          <t>VÄSTRA GÖTALANDS LÄN</t>
        </is>
      </c>
      <c r="G222" t="inlineStr">
        <is>
          <t>ÅMÅL</t>
        </is>
      </c>
      <c r="I222" t="n">
        <v>8.1</v>
      </c>
      <c r="J222" t="n">
        <v>0</v>
      </c>
      <c r="K222" t="n">
        <v>0</v>
      </c>
      <c r="L222" t="n">
        <v>0</v>
      </c>
      <c r="M222" t="n">
        <v>0</v>
      </c>
      <c r="N222" t="n">
        <v>0</v>
      </c>
      <c r="O222" t="n">
        <v>0</v>
      </c>
      <c r="P222" t="n">
        <v>0</v>
      </c>
      <c r="Q222" t="n">
        <v>0</v>
      </c>
      <c r="R222" t="n">
        <v>0</v>
      </c>
      <c r="S222" t="n">
        <v>0</v>
      </c>
      <c r="T222" t="n">
        <v>0</v>
      </c>
      <c r="U222" s="2" t="inlineStr"/>
    </row>
    <row r="223" ht="15" customHeight="1">
      <c r="A223" t="inlineStr">
        <is>
          <t>A 29615-2026</t>
        </is>
      </c>
      <c r="B223" t="inlineStr">
        <is>
          <t>avverkningsanmälan</t>
        </is>
      </c>
      <c r="C223" t="inlineStr">
        <is>
          <t>Föryngringsavverkning</t>
        </is>
      </c>
      <c r="D223" s="1" t="n">
        <v>46204</v>
      </c>
      <c r="E223" s="1" t="n">
        <v>46223</v>
      </c>
      <c r="F223" t="inlineStr">
        <is>
          <t>VÄSTRA GÖTALANDS LÄN</t>
        </is>
      </c>
      <c r="G223" t="inlineStr">
        <is>
          <t>ÅMÅL</t>
        </is>
      </c>
      <c r="H223" t="inlineStr">
        <is>
          <t>Kommuner</t>
        </is>
      </c>
      <c r="I223" t="n">
        <v>5</v>
      </c>
      <c r="J223" t="n">
        <v>0</v>
      </c>
      <c r="K223" t="n">
        <v>0</v>
      </c>
      <c r="L223" t="n">
        <v>0</v>
      </c>
      <c r="M223" t="n">
        <v>0</v>
      </c>
      <c r="N223" t="n">
        <v>0</v>
      </c>
      <c r="O223" t="n">
        <v>0</v>
      </c>
      <c r="P223" t="n">
        <v>0</v>
      </c>
      <c r="Q223" t="n">
        <v>0</v>
      </c>
      <c r="R223" t="n">
        <v>0</v>
      </c>
      <c r="S223" t="n">
        <v>0</v>
      </c>
      <c r="T223" t="n">
        <v>0</v>
      </c>
      <c r="U223" s="2" t="inlineStr"/>
    </row>
    <row r="224" ht="15" customHeight="1">
      <c r="A224" t="inlineStr">
        <is>
          <t>A 54870-2023</t>
        </is>
      </c>
      <c r="B224" t="inlineStr">
        <is>
          <t>avverkningsanmälan</t>
        </is>
      </c>
      <c r="C224" t="inlineStr">
        <is>
          <t>Föryngringsavverkning</t>
        </is>
      </c>
      <c r="D224" s="1" t="n">
        <v>45229</v>
      </c>
      <c r="E224" s="1" t="n">
        <v>46223</v>
      </c>
      <c r="F224" t="inlineStr">
        <is>
          <t>VÄSTRA GÖTALANDS LÄN</t>
        </is>
      </c>
      <c r="G224" t="inlineStr">
        <is>
          <t>ÅMÅL</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54943-2023</t>
        </is>
      </c>
      <c r="B225" t="inlineStr">
        <is>
          <t>avverkningsanmälan</t>
        </is>
      </c>
      <c r="C225" t="inlineStr">
        <is>
          <t>Föryngringsavverkning</t>
        </is>
      </c>
      <c r="D225" s="1" t="n">
        <v>45236</v>
      </c>
      <c r="E225" s="1" t="n">
        <v>46223</v>
      </c>
      <c r="F225" t="inlineStr">
        <is>
          <t>VÄSTRA GÖTALANDS LÄN</t>
        </is>
      </c>
      <c r="G225" t="inlineStr">
        <is>
          <t>ÅMÅL</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2199-2024</t>
        </is>
      </c>
      <c r="B226" t="inlineStr">
        <is>
          <t>avverkningsanmälan</t>
        </is>
      </c>
      <c r="C226" t="inlineStr">
        <is>
          <t>Föryngringsavverkning</t>
        </is>
      </c>
      <c r="D226" s="1" t="n">
        <v>45309</v>
      </c>
      <c r="E226" s="1" t="n">
        <v>46223</v>
      </c>
      <c r="F226" t="inlineStr">
        <is>
          <t>VÄSTRA GÖTALANDS LÄN</t>
        </is>
      </c>
      <c r="G226" t="inlineStr">
        <is>
          <t>ÅMÅL</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16359-2025</t>
        </is>
      </c>
      <c r="B227" t="inlineStr">
        <is>
          <t>avverkningsanmälan</t>
        </is>
      </c>
      <c r="C227" t="inlineStr">
        <is>
          <t>Föryngringsavverkning</t>
        </is>
      </c>
      <c r="D227" s="1" t="n">
        <v>45751</v>
      </c>
      <c r="E227" s="1" t="n">
        <v>46223</v>
      </c>
      <c r="F227" t="inlineStr">
        <is>
          <t>VÄSTRA GÖTALANDS LÄN</t>
        </is>
      </c>
      <c r="G227" t="inlineStr">
        <is>
          <t>ÅMÅL</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40189-2024</t>
        </is>
      </c>
      <c r="B228" t="inlineStr">
        <is>
          <t>avverkningsanmälan</t>
        </is>
      </c>
      <c r="C228" t="inlineStr">
        <is>
          <t>Föryngringsavverkning</t>
        </is>
      </c>
      <c r="D228" s="1" t="n">
        <v>45554</v>
      </c>
      <c r="E228" s="1" t="n">
        <v>46223</v>
      </c>
      <c r="F228" t="inlineStr">
        <is>
          <t>VÄSTRA GÖTALANDS LÄN</t>
        </is>
      </c>
      <c r="G228" t="inlineStr">
        <is>
          <t>ÅMÅL</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48365-2023</t>
        </is>
      </c>
      <c r="B229" t="inlineStr">
        <is>
          <t>avverkningsanmälan</t>
        </is>
      </c>
      <c r="C229" t="inlineStr">
        <is>
          <t>Föryngringsavverkning</t>
        </is>
      </c>
      <c r="D229" s="1" t="n">
        <v>45205</v>
      </c>
      <c r="E229" s="1" t="n">
        <v>46223</v>
      </c>
      <c r="F229" t="inlineStr">
        <is>
          <t>VÄSTRA GÖTALANDS LÄN</t>
        </is>
      </c>
      <c r="G229" t="inlineStr">
        <is>
          <t>ÅMÅL</t>
        </is>
      </c>
      <c r="I229" t="n">
        <v>0.1</v>
      </c>
      <c r="J229" t="n">
        <v>0</v>
      </c>
      <c r="K229" t="n">
        <v>0</v>
      </c>
      <c r="L229" t="n">
        <v>0</v>
      </c>
      <c r="M229" t="n">
        <v>0</v>
      </c>
      <c r="N229" t="n">
        <v>0</v>
      </c>
      <c r="O229" t="n">
        <v>0</v>
      </c>
      <c r="P229" t="n">
        <v>0</v>
      </c>
      <c r="Q229" t="n">
        <v>0</v>
      </c>
      <c r="R229" t="n">
        <v>0</v>
      </c>
      <c r="S229" t="n">
        <v>0</v>
      </c>
      <c r="T229" t="n">
        <v>0</v>
      </c>
      <c r="U229" s="2" t="inlineStr"/>
    </row>
    <row r="230" ht="15" customHeight="1">
      <c r="A230" t="inlineStr">
        <is>
          <t>A 57710-2022</t>
        </is>
      </c>
      <c r="B230" t="inlineStr">
        <is>
          <t>avverkningsanmälan</t>
        </is>
      </c>
      <c r="C230" t="inlineStr">
        <is>
          <t>Föryngringsavverkning</t>
        </is>
      </c>
      <c r="D230" s="1" t="n">
        <v>44897</v>
      </c>
      <c r="E230" s="1" t="n">
        <v>46223</v>
      </c>
      <c r="F230" t="inlineStr">
        <is>
          <t>VÄSTRA GÖTALANDS LÄN</t>
        </is>
      </c>
      <c r="G230" t="inlineStr">
        <is>
          <t>ÅMÅL</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25304-2026</t>
        </is>
      </c>
      <c r="B231" t="inlineStr">
        <is>
          <t>avverkningsanmälan</t>
        </is>
      </c>
      <c r="C231" t="inlineStr">
        <is>
          <t>Föryngringsavverkning</t>
        </is>
      </c>
      <c r="D231" s="1" t="n">
        <v>46176</v>
      </c>
      <c r="E231" s="1" t="n">
        <v>46223</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s="2" t="inlineStr"/>
    </row>
    <row r="232" ht="15" customHeight="1">
      <c r="A232" t="inlineStr">
        <is>
          <t>A 36289-2024</t>
        </is>
      </c>
      <c r="B232" t="inlineStr">
        <is>
          <t>avverkningsanmälan</t>
        </is>
      </c>
      <c r="C232" t="inlineStr">
        <is>
          <t>Föryngringsavverkning</t>
        </is>
      </c>
      <c r="D232" s="1" t="n">
        <v>45534</v>
      </c>
      <c r="E232" s="1" t="n">
        <v>46223</v>
      </c>
      <c r="F232" t="inlineStr">
        <is>
          <t>VÄSTRA GÖTALANDS LÄN</t>
        </is>
      </c>
      <c r="G232" t="inlineStr">
        <is>
          <t>ÅMÅL</t>
        </is>
      </c>
      <c r="H232" t="inlineStr">
        <is>
          <t>Bergvik skog väst AB</t>
        </is>
      </c>
      <c r="I232" t="n">
        <v>11.2</v>
      </c>
      <c r="J232" t="n">
        <v>0</v>
      </c>
      <c r="K232" t="n">
        <v>0</v>
      </c>
      <c r="L232" t="n">
        <v>0</v>
      </c>
      <c r="M232" t="n">
        <v>0</v>
      </c>
      <c r="N232" t="n">
        <v>0</v>
      </c>
      <c r="O232" t="n">
        <v>0</v>
      </c>
      <c r="P232" t="n">
        <v>0</v>
      </c>
      <c r="Q232" t="n">
        <v>0</v>
      </c>
      <c r="R232" t="n">
        <v>0</v>
      </c>
      <c r="S232" t="n">
        <v>0</v>
      </c>
      <c r="T232" t="n">
        <v>0</v>
      </c>
      <c r="U232" s="2" t="inlineStr"/>
    </row>
    <row r="233" ht="15" customHeight="1">
      <c r="A233" t="inlineStr">
        <is>
          <t>A 34979-2024</t>
        </is>
      </c>
      <c r="B233" t="inlineStr">
        <is>
          <t>avverkningsanmälan</t>
        </is>
      </c>
      <c r="C233" t="inlineStr">
        <is>
          <t>Föryngringsavverkning</t>
        </is>
      </c>
      <c r="D233" s="1" t="n">
        <v>45527</v>
      </c>
      <c r="E233" s="1" t="n">
        <v>46223</v>
      </c>
      <c r="F233" t="inlineStr">
        <is>
          <t>VÄSTRA GÖTALANDS LÄN</t>
        </is>
      </c>
      <c r="G233" t="inlineStr">
        <is>
          <t>ÅMÅL</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4696-2024</t>
        </is>
      </c>
      <c r="B234" t="inlineStr">
        <is>
          <t>avverkningsanmälan</t>
        </is>
      </c>
      <c r="C234" t="inlineStr">
        <is>
          <t>Föryngringsavverkning</t>
        </is>
      </c>
      <c r="D234" s="1" t="n">
        <v>45328</v>
      </c>
      <c r="E234" s="1" t="n">
        <v>46223</v>
      </c>
      <c r="F234" t="inlineStr">
        <is>
          <t>VÄSTRA GÖTALANDS LÄN</t>
        </is>
      </c>
      <c r="G234" t="inlineStr">
        <is>
          <t>ÅMÅL</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48447-2022</t>
        </is>
      </c>
      <c r="B235" t="inlineStr">
        <is>
          <t>avverkningsanmälan</t>
        </is>
      </c>
      <c r="C235" t="inlineStr">
        <is>
          <t>Föryngringsavverkning</t>
        </is>
      </c>
      <c r="D235" s="1" t="n">
        <v>44858</v>
      </c>
      <c r="E235" s="1" t="n">
        <v>46223</v>
      </c>
      <c r="F235" t="inlineStr">
        <is>
          <t>VÄSTRA GÖTALANDS LÄN</t>
        </is>
      </c>
      <c r="G235" t="inlineStr">
        <is>
          <t>ÅMÅL</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27853-2023</t>
        </is>
      </c>
      <c r="B236" t="inlineStr">
        <is>
          <t>avverkningsanmälan</t>
        </is>
      </c>
      <c r="C236" t="inlineStr">
        <is>
          <t>Föryngringsavverkning</t>
        </is>
      </c>
      <c r="D236" s="1" t="n">
        <v>45098</v>
      </c>
      <c r="E236" s="1" t="n">
        <v>46223</v>
      </c>
      <c r="F236" t="inlineStr">
        <is>
          <t>VÄSTRA GÖTALANDS LÄN</t>
        </is>
      </c>
      <c r="G236" t="inlineStr">
        <is>
          <t>ÅMÅL</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39534-2024</t>
        </is>
      </c>
      <c r="B237" t="inlineStr">
        <is>
          <t>avverkningsanmälan</t>
        </is>
      </c>
      <c r="C237" t="inlineStr">
        <is>
          <t>Föryngringsavverkning</t>
        </is>
      </c>
      <c r="D237" s="1" t="n">
        <v>45551</v>
      </c>
      <c r="E237" s="1" t="n">
        <v>46223</v>
      </c>
      <c r="F237" t="inlineStr">
        <is>
          <t>VÄSTRA GÖTALANDS LÄN</t>
        </is>
      </c>
      <c r="G237" t="inlineStr">
        <is>
          <t>ÅMÅL</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32889-2023</t>
        </is>
      </c>
      <c r="B238" t="inlineStr">
        <is>
          <t>avverkningsanmälan</t>
        </is>
      </c>
      <c r="C238" t="inlineStr">
        <is>
          <t>Föryngringsavverkning</t>
        </is>
      </c>
      <c r="D238" s="1" t="n">
        <v>45112</v>
      </c>
      <c r="E238" s="1" t="n">
        <v>46223</v>
      </c>
      <c r="F238" t="inlineStr">
        <is>
          <t>VÄSTRA GÖTALANDS LÄN</t>
        </is>
      </c>
      <c r="G238" t="inlineStr">
        <is>
          <t>ÅMÅL</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59998-2024</t>
        </is>
      </c>
      <c r="B239" t="inlineStr">
        <is>
          <t>avverkningsanmälan</t>
        </is>
      </c>
      <c r="C239" t="inlineStr">
        <is>
          <t>Föryngringsavverkning</t>
        </is>
      </c>
      <c r="D239" s="1" t="n">
        <v>45642</v>
      </c>
      <c r="E239" s="1" t="n">
        <v>46223</v>
      </c>
      <c r="F239" t="inlineStr">
        <is>
          <t>VÄSTRA GÖTALANDS LÄN</t>
        </is>
      </c>
      <c r="G239" t="inlineStr">
        <is>
          <t>ÅMÅL</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21024-2025</t>
        </is>
      </c>
      <c r="B240" t="inlineStr">
        <is>
          <t>avverkningsanmälan</t>
        </is>
      </c>
      <c r="C240" t="inlineStr">
        <is>
          <t>Föryngringsavverkning</t>
        </is>
      </c>
      <c r="D240" s="1" t="n">
        <v>45777</v>
      </c>
      <c r="E240" s="1" t="n">
        <v>46223</v>
      </c>
      <c r="F240" t="inlineStr">
        <is>
          <t>VÄSTRA GÖTALANDS LÄN</t>
        </is>
      </c>
      <c r="G240" t="inlineStr">
        <is>
          <t>ÅMÅL</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21028-2025</t>
        </is>
      </c>
      <c r="B241" t="inlineStr">
        <is>
          <t>avverkningsanmälan</t>
        </is>
      </c>
      <c r="C241" t="inlineStr">
        <is>
          <t>Föryngringsavverkning</t>
        </is>
      </c>
      <c r="D241" s="1" t="n">
        <v>45777</v>
      </c>
      <c r="E241" s="1" t="n">
        <v>46223</v>
      </c>
      <c r="F241" t="inlineStr">
        <is>
          <t>VÄSTRA GÖTALANDS LÄN</t>
        </is>
      </c>
      <c r="G241" t="inlineStr">
        <is>
          <t>ÅMÅL</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21032-2025</t>
        </is>
      </c>
      <c r="B242" t="inlineStr">
        <is>
          <t>avverkningsanmälan</t>
        </is>
      </c>
      <c r="C242" t="inlineStr">
        <is>
          <t>Föryngringsavverkning</t>
        </is>
      </c>
      <c r="D242" s="1" t="n">
        <v>45777</v>
      </c>
      <c r="E242" s="1" t="n">
        <v>46223</v>
      </c>
      <c r="F242" t="inlineStr">
        <is>
          <t>VÄSTRA GÖTALANDS LÄN</t>
        </is>
      </c>
      <c r="G242" t="inlineStr">
        <is>
          <t>ÅMÅL</t>
        </is>
      </c>
      <c r="I242" t="n">
        <v>6.8</v>
      </c>
      <c r="J242" t="n">
        <v>0</v>
      </c>
      <c r="K242" t="n">
        <v>0</v>
      </c>
      <c r="L242" t="n">
        <v>0</v>
      </c>
      <c r="M242" t="n">
        <v>0</v>
      </c>
      <c r="N242" t="n">
        <v>0</v>
      </c>
      <c r="O242" t="n">
        <v>0</v>
      </c>
      <c r="P242" t="n">
        <v>0</v>
      </c>
      <c r="Q242" t="n">
        <v>0</v>
      </c>
      <c r="R242" t="n">
        <v>0</v>
      </c>
      <c r="S242" t="n">
        <v>0</v>
      </c>
      <c r="T242" t="n">
        <v>0</v>
      </c>
      <c r="U242" s="2" t="inlineStr"/>
    </row>
    <row r="243" ht="15" customHeight="1">
      <c r="A243" t="inlineStr">
        <is>
          <t>A 40278-2024</t>
        </is>
      </c>
      <c r="B243" t="inlineStr">
        <is>
          <t>avverkningsanmälan</t>
        </is>
      </c>
      <c r="C243" t="inlineStr">
        <is>
          <t>Föryngringsavverkning</t>
        </is>
      </c>
      <c r="D243" s="1" t="n">
        <v>45554</v>
      </c>
      <c r="E243" s="1" t="n">
        <v>46223</v>
      </c>
      <c r="F243" t="inlineStr">
        <is>
          <t>VÄSTRA GÖTALANDS LÄN</t>
        </is>
      </c>
      <c r="G243" t="inlineStr">
        <is>
          <t>ÅMÅL</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10800-2024</t>
        </is>
      </c>
      <c r="B244" t="inlineStr">
        <is>
          <t>avverkningsanmälan</t>
        </is>
      </c>
      <c r="C244" t="inlineStr">
        <is>
          <t>Föryngringsavverkning</t>
        </is>
      </c>
      <c r="D244" s="1" t="n">
        <v>45369</v>
      </c>
      <c r="E244" s="1" t="n">
        <v>46223</v>
      </c>
      <c r="F244" t="inlineStr">
        <is>
          <t>VÄSTRA GÖTALANDS LÄN</t>
        </is>
      </c>
      <c r="G244" t="inlineStr">
        <is>
          <t>ÅMÅL</t>
        </is>
      </c>
      <c r="I244" t="n">
        <v>5.2</v>
      </c>
      <c r="J244" t="n">
        <v>0</v>
      </c>
      <c r="K244" t="n">
        <v>0</v>
      </c>
      <c r="L244" t="n">
        <v>0</v>
      </c>
      <c r="M244" t="n">
        <v>0</v>
      </c>
      <c r="N244" t="n">
        <v>0</v>
      </c>
      <c r="O244" t="n">
        <v>0</v>
      </c>
      <c r="P244" t="n">
        <v>0</v>
      </c>
      <c r="Q244" t="n">
        <v>0</v>
      </c>
      <c r="R244" t="n">
        <v>0</v>
      </c>
      <c r="S244" t="n">
        <v>0</v>
      </c>
      <c r="T244" t="n">
        <v>0</v>
      </c>
      <c r="U244" s="2" t="inlineStr"/>
    </row>
    <row r="245" ht="15" customHeight="1">
      <c r="A245" t="inlineStr">
        <is>
          <t>A 23125-2025</t>
        </is>
      </c>
      <c r="B245" t="inlineStr">
        <is>
          <t>avverkningsanmälan</t>
        </is>
      </c>
      <c r="C245" t="inlineStr">
        <is>
          <t>Föryngringsavverkning</t>
        </is>
      </c>
      <c r="D245" s="1" t="n">
        <v>45791</v>
      </c>
      <c r="E245" s="1" t="n">
        <v>46223</v>
      </c>
      <c r="F245" t="inlineStr">
        <is>
          <t>VÄSTRA GÖTALANDS LÄN</t>
        </is>
      </c>
      <c r="G245" t="inlineStr">
        <is>
          <t>ÅMÅL</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15691-2024</t>
        </is>
      </c>
      <c r="B246" t="inlineStr">
        <is>
          <t>avverkningsanmälan</t>
        </is>
      </c>
      <c r="C246" t="inlineStr">
        <is>
          <t>Föryngringsavverkning</t>
        </is>
      </c>
      <c r="D246" s="1" t="n">
        <v>45404</v>
      </c>
      <c r="E246" s="1" t="n">
        <v>46223</v>
      </c>
      <c r="F246" t="inlineStr">
        <is>
          <t>VÄSTRA GÖTALANDS LÄN</t>
        </is>
      </c>
      <c r="G246" t="inlineStr">
        <is>
          <t>ÅMÅL</t>
        </is>
      </c>
      <c r="I246" t="n">
        <v>8.199999999999999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3571-2025</t>
        </is>
      </c>
      <c r="B247" t="inlineStr">
        <is>
          <t>avverkningsanmälan</t>
        </is>
      </c>
      <c r="C247" t="inlineStr">
        <is>
          <t>Föryngringsavverkning</t>
        </is>
      </c>
      <c r="D247" s="1" t="n">
        <v>45680</v>
      </c>
      <c r="E247" s="1" t="n">
        <v>46223</v>
      </c>
      <c r="F247" t="inlineStr">
        <is>
          <t>VÄSTRA GÖTALANDS LÄN</t>
        </is>
      </c>
      <c r="G247" t="inlineStr">
        <is>
          <t>ÅMÅL</t>
        </is>
      </c>
      <c r="I247" t="n">
        <v>11.2</v>
      </c>
      <c r="J247" t="n">
        <v>0</v>
      </c>
      <c r="K247" t="n">
        <v>0</v>
      </c>
      <c r="L247" t="n">
        <v>0</v>
      </c>
      <c r="M247" t="n">
        <v>0</v>
      </c>
      <c r="N247" t="n">
        <v>0</v>
      </c>
      <c r="O247" t="n">
        <v>0</v>
      </c>
      <c r="P247" t="n">
        <v>0</v>
      </c>
      <c r="Q247" t="n">
        <v>0</v>
      </c>
      <c r="R247" t="n">
        <v>0</v>
      </c>
      <c r="S247" t="n">
        <v>0</v>
      </c>
      <c r="T247" t="n">
        <v>0</v>
      </c>
      <c r="U247" s="2" t="inlineStr"/>
    </row>
    <row r="248" ht="15" customHeight="1">
      <c r="A248" t="inlineStr">
        <is>
          <t>S 2641-2022</t>
        </is>
      </c>
      <c r="B248" t="inlineStr">
        <is>
          <t>samrådsanmälan</t>
        </is>
      </c>
      <c r="C248" t="inlineStr">
        <is>
          <t>Annan skogsbruksåtgärd</t>
        </is>
      </c>
      <c r="D248" s="1" t="n">
        <v>44700</v>
      </c>
      <c r="E248" s="1" t="n">
        <v>46223</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S 599-2024</t>
        </is>
      </c>
      <c r="B249" t="inlineStr">
        <is>
          <t>samrådsanmälan</t>
        </is>
      </c>
      <c r="C249" t="inlineStr">
        <is>
          <t>Askåterföring</t>
        </is>
      </c>
      <c r="D249" s="1" t="n">
        <v>45351</v>
      </c>
      <c r="E249" s="1" t="n">
        <v>46223</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s="2" t="inlineStr"/>
    </row>
    <row r="250" ht="15" customHeight="1">
      <c r="A250" t="inlineStr">
        <is>
          <t>S 1781-2025</t>
        </is>
      </c>
      <c r="B250" t="inlineStr">
        <is>
          <t>samrådsanmälan</t>
        </is>
      </c>
      <c r="C250" t="inlineStr">
        <is>
          <t>Annan skogsbruksåtgärd</t>
        </is>
      </c>
      <c r="D250" s="1" t="n">
        <v>45813</v>
      </c>
      <c r="E250" s="1" t="n">
        <v>46223</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s="2" t="inlineStr"/>
    </row>
    <row r="251">
      <c r="A251" t="inlineStr">
        <is>
          <t>S 1773-2026</t>
        </is>
      </c>
      <c r="B251" t="inlineStr">
        <is>
          <t>samrådsanmälan</t>
        </is>
      </c>
      <c r="C251" t="inlineStr">
        <is>
          <t>Askåterföring</t>
        </is>
      </c>
      <c r="D251" s="1" t="n">
        <v>46191</v>
      </c>
      <c r="E251" s="1" t="n">
        <v>46223</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2026-07-20T01:49:09Z</dcterms:created>
  <dcterms:modified xmlns:dcterms="http://purl.org/dc/terms/" xmlns:xsi="http://www.w3.org/2001/XMLSchema-instance" xsi:type="dcterms:W3CDTF">2026-07-20T01:49:09Z</dcterms:modified>
</cp:coreProperties>
</file>