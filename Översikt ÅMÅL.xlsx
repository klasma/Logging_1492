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45875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45875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45875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30441-2019</t>
        </is>
      </c>
      <c r="B5" s="1" t="n">
        <v>43635</v>
      </c>
      <c r="C5" s="1" t="n">
        <v>45875</v>
      </c>
      <c r="D5" t="inlineStr">
        <is>
          <t>VÄSTRA GÖTALANDS LÄN</t>
        </is>
      </c>
      <c r="E5" t="inlineStr">
        <is>
          <t>ÅMÅL</t>
        </is>
      </c>
      <c r="G5" t="n">
        <v>4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Sårläka</t>
        </is>
      </c>
      <c r="S5">
        <f>HYPERLINK("https://klasma.github.io/Logging_1492/artfynd/A 30441-2019 artfynd.xlsx", "A 30441-2019")</f>
        <v/>
      </c>
      <c r="T5">
        <f>HYPERLINK("https://klasma.github.io/Logging_1492/kartor/A 30441-2019 karta.png", "A 30441-2019")</f>
        <v/>
      </c>
      <c r="V5">
        <f>HYPERLINK("https://klasma.github.io/Logging_1492/klagomål/A 30441-2019 FSC-klagomål.docx", "A 30441-2019")</f>
        <v/>
      </c>
      <c r="W5">
        <f>HYPERLINK("https://klasma.github.io/Logging_1492/klagomålsmail/A 30441-2019 FSC-klagomål mail.docx", "A 30441-2019")</f>
        <v/>
      </c>
      <c r="X5">
        <f>HYPERLINK("https://klasma.github.io/Logging_1492/tillsyn/A 30441-2019 tillsynsbegäran.docx", "A 30441-2019")</f>
        <v/>
      </c>
      <c r="Y5">
        <f>HYPERLINK("https://klasma.github.io/Logging_1492/tillsynsmail/A 30441-2019 tillsynsbegäran mail.docx", "A 30441-2019")</f>
        <v/>
      </c>
    </row>
    <row r="6" ht="15" customHeight="1">
      <c r="A6" t="inlineStr">
        <is>
          <t>A 63804-2023</t>
        </is>
      </c>
      <c r="B6" s="1" t="n">
        <v>45278</v>
      </c>
      <c r="C6" s="1" t="n">
        <v>45875</v>
      </c>
      <c r="D6" t="inlineStr">
        <is>
          <t>VÄSTRA GÖTALANDS LÄN</t>
        </is>
      </c>
      <c r="E6" t="inlineStr">
        <is>
          <t>ÅMÅL</t>
        </is>
      </c>
      <c r="F6" t="inlineStr">
        <is>
          <t>Kommuner</t>
        </is>
      </c>
      <c r="G6" t="n">
        <v>0.8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Svinrot</t>
        </is>
      </c>
      <c r="S6">
        <f>HYPERLINK("https://klasma.github.io/Logging_1492/artfynd/A 63804-2023 artfynd.xlsx", "A 63804-2023")</f>
        <v/>
      </c>
      <c r="T6">
        <f>HYPERLINK("https://klasma.github.io/Logging_1492/kartor/A 63804-2023 karta.png", "A 63804-2023")</f>
        <v/>
      </c>
      <c r="V6">
        <f>HYPERLINK("https://klasma.github.io/Logging_1492/klagomål/A 63804-2023 FSC-klagomål.docx", "A 63804-2023")</f>
        <v/>
      </c>
      <c r="W6">
        <f>HYPERLINK("https://klasma.github.io/Logging_1492/klagomålsmail/A 63804-2023 FSC-klagomål mail.docx", "A 63804-2023")</f>
        <v/>
      </c>
      <c r="X6">
        <f>HYPERLINK("https://klasma.github.io/Logging_1492/tillsyn/A 63804-2023 tillsynsbegäran.docx", "A 63804-2023")</f>
        <v/>
      </c>
      <c r="Y6">
        <f>HYPERLINK("https://klasma.github.io/Logging_1492/tillsynsmail/A 63804-2023 tillsynsbegäran mail.docx", "A 63804-2023")</f>
        <v/>
      </c>
    </row>
    <row r="7" ht="15" customHeight="1">
      <c r="A7" t="inlineStr">
        <is>
          <t>A 17535-2024</t>
        </is>
      </c>
      <c r="B7" s="1" t="n">
        <v>45415</v>
      </c>
      <c r="C7" s="1" t="n">
        <v>45875</v>
      </c>
      <c r="D7" t="inlineStr">
        <is>
          <t>VÄSTRA GÖTALANDS LÄN</t>
        </is>
      </c>
      <c r="E7" t="inlineStr">
        <is>
          <t>ÅMÅL</t>
        </is>
      </c>
      <c r="G7" t="n">
        <v>2.4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Bergjohannesört
Krusfrö</t>
        </is>
      </c>
      <c r="S7">
        <f>HYPERLINK("https://klasma.github.io/Logging_1492/artfynd/A 17535-2024 artfynd.xlsx", "A 17535-2024")</f>
        <v/>
      </c>
      <c r="T7">
        <f>HYPERLINK("https://klasma.github.io/Logging_1492/kartor/A 17535-2024 karta.png", "A 17535-2024")</f>
        <v/>
      </c>
      <c r="V7">
        <f>HYPERLINK("https://klasma.github.io/Logging_1492/klagomål/A 17535-2024 FSC-klagomål.docx", "A 17535-2024")</f>
        <v/>
      </c>
      <c r="W7">
        <f>HYPERLINK("https://klasma.github.io/Logging_1492/klagomålsmail/A 17535-2024 FSC-klagomål mail.docx", "A 17535-2024")</f>
        <v/>
      </c>
      <c r="X7">
        <f>HYPERLINK("https://klasma.github.io/Logging_1492/tillsyn/A 17535-2024 tillsynsbegäran.docx", "A 17535-2024")</f>
        <v/>
      </c>
      <c r="Y7">
        <f>HYPERLINK("https://klasma.github.io/Logging_1492/tillsynsmail/A 17535-2024 tillsynsbegäran mail.docx", "A 17535-2024")</f>
        <v/>
      </c>
    </row>
    <row r="8" ht="15" customHeight="1">
      <c r="A8" t="inlineStr">
        <is>
          <t>A 31651-2024</t>
        </is>
      </c>
      <c r="B8" s="1" t="n">
        <v>45506</v>
      </c>
      <c r="C8" s="1" t="n">
        <v>45875</v>
      </c>
      <c r="D8" t="inlineStr">
        <is>
          <t>VÄSTRA GÖTALANDS LÄN</t>
        </is>
      </c>
      <c r="E8" t="inlineStr">
        <is>
          <t>ÅMÅL</t>
        </is>
      </c>
      <c r="G8" t="n">
        <v>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Bergjohannesört
Blåsippa</t>
        </is>
      </c>
      <c r="S8">
        <f>HYPERLINK("https://klasma.github.io/Logging_1492/artfynd/A 31651-2024 artfynd.xlsx", "A 31651-2024")</f>
        <v/>
      </c>
      <c r="T8">
        <f>HYPERLINK("https://klasma.github.io/Logging_1492/kartor/A 31651-2024 karta.png", "A 31651-2024")</f>
        <v/>
      </c>
      <c r="V8">
        <f>HYPERLINK("https://klasma.github.io/Logging_1492/klagomål/A 31651-2024 FSC-klagomål.docx", "A 31651-2024")</f>
        <v/>
      </c>
      <c r="W8">
        <f>HYPERLINK("https://klasma.github.io/Logging_1492/klagomålsmail/A 31651-2024 FSC-klagomål mail.docx", "A 31651-2024")</f>
        <v/>
      </c>
      <c r="X8">
        <f>HYPERLINK("https://klasma.github.io/Logging_1492/tillsyn/A 31651-2024 tillsynsbegäran.docx", "A 31651-2024")</f>
        <v/>
      </c>
      <c r="Y8">
        <f>HYPERLINK("https://klasma.github.io/Logging_1492/tillsynsmail/A 31651-2024 tillsynsbegäran mail.docx", "A 31651-2024")</f>
        <v/>
      </c>
    </row>
    <row r="9" ht="15" customHeight="1">
      <c r="A9" t="inlineStr">
        <is>
          <t>A 31652-2024</t>
        </is>
      </c>
      <c r="B9" s="1" t="n">
        <v>45506</v>
      </c>
      <c r="C9" s="1" t="n">
        <v>45875</v>
      </c>
      <c r="D9" t="inlineStr">
        <is>
          <t>VÄSTRA GÖTALANDS LÄN</t>
        </is>
      </c>
      <c r="E9" t="inlineStr">
        <is>
          <t>ÅMÅL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Gulgrön kantmusseron
Svart trolldruva</t>
        </is>
      </c>
      <c r="S9">
        <f>HYPERLINK("https://klasma.github.io/Logging_1492/artfynd/A 31652-2024 artfynd.xlsx", "A 31652-2024")</f>
        <v/>
      </c>
      <c r="T9">
        <f>HYPERLINK("https://klasma.github.io/Logging_1492/kartor/A 31652-2024 karta.png", "A 31652-2024")</f>
        <v/>
      </c>
      <c r="V9">
        <f>HYPERLINK("https://klasma.github.io/Logging_1492/klagomål/A 31652-2024 FSC-klagomål.docx", "A 31652-2024")</f>
        <v/>
      </c>
      <c r="W9">
        <f>HYPERLINK("https://klasma.github.io/Logging_1492/klagomålsmail/A 31652-2024 FSC-klagomål mail.docx", "A 31652-2024")</f>
        <v/>
      </c>
      <c r="X9">
        <f>HYPERLINK("https://klasma.github.io/Logging_1492/tillsyn/A 31652-2024 tillsynsbegäran.docx", "A 31652-2024")</f>
        <v/>
      </c>
      <c r="Y9">
        <f>HYPERLINK("https://klasma.github.io/Logging_1492/tillsynsmail/A 31652-2024 tillsynsbegäran mail.docx", "A 31652-2024")</f>
        <v/>
      </c>
    </row>
    <row r="10" ht="15" customHeight="1">
      <c r="A10" t="inlineStr">
        <is>
          <t>A 32653-2019</t>
        </is>
      </c>
      <c r="B10" s="1" t="n">
        <v>43643</v>
      </c>
      <c r="C10" s="1" t="n">
        <v>45875</v>
      </c>
      <c r="D10" t="inlineStr">
        <is>
          <t>VÄSTRA GÖTALANDS LÄN</t>
        </is>
      </c>
      <c r="E10" t="inlineStr">
        <is>
          <t>ÅMÅL</t>
        </is>
      </c>
      <c r="G10" t="n">
        <v>30.2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HYPERLINK("https://klasma.github.io/Logging_1492/artfynd/A 32653-2019 artfynd.xlsx", "A 32653-2019")</f>
        <v/>
      </c>
      <c r="T10">
        <f>HYPERLINK("https://klasma.github.io/Logging_1492/kartor/A 32653-2019 karta.png", "A 32653-2019")</f>
        <v/>
      </c>
      <c r="V10">
        <f>HYPERLINK("https://klasma.github.io/Logging_1492/klagomål/A 32653-2019 FSC-klagomål.docx", "A 32653-2019")</f>
        <v/>
      </c>
      <c r="W10">
        <f>HYPERLINK("https://klasma.github.io/Logging_1492/klagomålsmail/A 32653-2019 FSC-klagomål mail.docx", "A 32653-2019")</f>
        <v/>
      </c>
      <c r="X10">
        <f>HYPERLINK("https://klasma.github.io/Logging_1492/tillsyn/A 32653-2019 tillsynsbegäran.docx", "A 32653-2019")</f>
        <v/>
      </c>
      <c r="Y10">
        <f>HYPERLINK("https://klasma.github.io/Logging_1492/tillsynsmail/A 32653-2019 tillsynsbegäran mail.docx", "A 32653-2019")</f>
        <v/>
      </c>
      <c r="Z10">
        <f>HYPERLINK("https://klasma.github.io/Logging_1492/fåglar/A 32653-2019 prioriterade fågelarter.docx", "A 32653-2019")</f>
        <v/>
      </c>
    </row>
    <row r="11" ht="15" customHeight="1">
      <c r="A11" t="inlineStr">
        <is>
          <t>A 49530-2019</t>
        </is>
      </c>
      <c r="B11" s="1" t="n">
        <v>43732</v>
      </c>
      <c r="C11" s="1" t="n">
        <v>45875</v>
      </c>
      <c r="D11" t="inlineStr">
        <is>
          <t>VÄSTRA GÖTALANDS LÄN</t>
        </is>
      </c>
      <c r="E11" t="inlineStr">
        <is>
          <t>ÅMÅL</t>
        </is>
      </c>
      <c r="G11" t="n">
        <v>6.1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HYPERLINK("https://klasma.github.io/Logging_1492/artfynd/A 49530-2019 artfynd.xlsx", "A 49530-2019")</f>
        <v/>
      </c>
      <c r="T11">
        <f>HYPERLINK("https://klasma.github.io/Logging_1492/kartor/A 49530-2019 karta.png", "A 49530-2019")</f>
        <v/>
      </c>
      <c r="V11">
        <f>HYPERLINK("https://klasma.github.io/Logging_1492/klagomål/A 49530-2019 FSC-klagomål.docx", "A 49530-2019")</f>
        <v/>
      </c>
      <c r="W11">
        <f>HYPERLINK("https://klasma.github.io/Logging_1492/klagomålsmail/A 49530-2019 FSC-klagomål mail.docx", "A 49530-2019")</f>
        <v/>
      </c>
      <c r="X11">
        <f>HYPERLINK("https://klasma.github.io/Logging_1492/tillsyn/A 49530-2019 tillsynsbegäran.docx", "A 49530-2019")</f>
        <v/>
      </c>
      <c r="Y11">
        <f>HYPERLINK("https://klasma.github.io/Logging_1492/tillsynsmail/A 49530-2019 tillsynsbegäran mail.docx", "A 49530-2019")</f>
        <v/>
      </c>
    </row>
    <row r="12" ht="15" customHeight="1">
      <c r="A12" t="inlineStr">
        <is>
          <t>A 61788-2019</t>
        </is>
      </c>
      <c r="B12" s="1" t="n">
        <v>43785</v>
      </c>
      <c r="C12" s="1" t="n">
        <v>45875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HYPERLINK("https://klasma.github.io/Logging_1492/artfynd/A 61788-2019 artfynd.xlsx", "A 61788-2019")</f>
        <v/>
      </c>
      <c r="T12">
        <f>HYPERLINK("https://klasma.github.io/Logging_1492/kartor/A 61788-2019 karta.png", "A 61788-2019")</f>
        <v/>
      </c>
      <c r="V12">
        <f>HYPERLINK("https://klasma.github.io/Logging_1492/klagomål/A 61788-2019 FSC-klagomål.docx", "A 61788-2019")</f>
        <v/>
      </c>
      <c r="W12">
        <f>HYPERLINK("https://klasma.github.io/Logging_1492/klagomålsmail/A 61788-2019 FSC-klagomål mail.docx", "A 61788-2019")</f>
        <v/>
      </c>
      <c r="X12">
        <f>HYPERLINK("https://klasma.github.io/Logging_1492/tillsyn/A 61788-2019 tillsynsbegäran.docx", "A 61788-2019")</f>
        <v/>
      </c>
      <c r="Y12">
        <f>HYPERLINK("https://klasma.github.io/Logging_1492/tillsynsmail/A 61788-2019 tillsynsbegäran mail.docx", "A 61788-2019")</f>
        <v/>
      </c>
    </row>
    <row r="13" ht="15" customHeight="1">
      <c r="A13" t="inlineStr">
        <is>
          <t>A 1275-2020</t>
        </is>
      </c>
      <c r="B13" s="1" t="n">
        <v>43841</v>
      </c>
      <c r="C13" s="1" t="n">
        <v>45875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1275-2020 artfynd.xlsx", "A 1275-2020")</f>
        <v/>
      </c>
      <c r="T13">
        <f>HYPERLINK("https://klasma.github.io/Logging_1492/kartor/A 1275-2020 karta.png", "A 1275-2020")</f>
        <v/>
      </c>
      <c r="V13">
        <f>HYPERLINK("https://klasma.github.io/Logging_1492/klagomål/A 1275-2020 FSC-klagomål.docx", "A 1275-2020")</f>
        <v/>
      </c>
      <c r="W13">
        <f>HYPERLINK("https://klasma.github.io/Logging_1492/klagomålsmail/A 1275-2020 FSC-klagomål mail.docx", "A 1275-2020")</f>
        <v/>
      </c>
      <c r="X13">
        <f>HYPERLINK("https://klasma.github.io/Logging_1492/tillsyn/A 1275-2020 tillsynsbegäran.docx", "A 1275-2020")</f>
        <v/>
      </c>
      <c r="Y13">
        <f>HYPERLINK("https://klasma.github.io/Logging_1492/tillsynsmail/A 1275-2020 tillsynsbegäran mail.docx", "A 1275-2020")</f>
        <v/>
      </c>
    </row>
    <row r="14" ht="15" customHeight="1">
      <c r="A14" t="inlineStr">
        <is>
          <t>A 901-2021</t>
        </is>
      </c>
      <c r="B14" s="1" t="n">
        <v>44206</v>
      </c>
      <c r="C14" s="1" t="n">
        <v>45875</v>
      </c>
      <c r="D14" t="inlineStr">
        <is>
          <t>VÄSTRA GÖTALANDS LÄN</t>
        </is>
      </c>
      <c r="E14" t="inlineStr">
        <is>
          <t>ÅMÅL</t>
        </is>
      </c>
      <c r="G14" t="n">
        <v>8.199999999999999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901-2021 artfynd.xlsx", "A 901-2021")</f>
        <v/>
      </c>
      <c r="T14">
        <f>HYPERLINK("https://klasma.github.io/Logging_1492/kartor/A 901-2021 karta.png", "A 901-2021")</f>
        <v/>
      </c>
      <c r="V14">
        <f>HYPERLINK("https://klasma.github.io/Logging_1492/klagomål/A 901-2021 FSC-klagomål.docx", "A 901-2021")</f>
        <v/>
      </c>
      <c r="W14">
        <f>HYPERLINK("https://klasma.github.io/Logging_1492/klagomålsmail/A 901-2021 FSC-klagomål mail.docx", "A 901-2021")</f>
        <v/>
      </c>
      <c r="X14">
        <f>HYPERLINK("https://klasma.github.io/Logging_1492/tillsyn/A 901-2021 tillsynsbegäran.docx", "A 901-2021")</f>
        <v/>
      </c>
      <c r="Y14">
        <f>HYPERLINK("https://klasma.github.io/Logging_1492/tillsynsmail/A 901-2021 tillsynsbegäran mail.docx", "A 901-2021")</f>
        <v/>
      </c>
    </row>
    <row r="15" ht="15" customHeight="1">
      <c r="A15" t="inlineStr">
        <is>
          <t>A 12624-2021</t>
        </is>
      </c>
      <c r="B15" s="1" t="n">
        <v>44270</v>
      </c>
      <c r="C15" s="1" t="n">
        <v>45875</v>
      </c>
      <c r="D15" t="inlineStr">
        <is>
          <t>VÄSTRA GÖTALANDS LÄN</t>
        </is>
      </c>
      <c r="E15" t="inlineStr">
        <is>
          <t>ÅMÅL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HYPERLINK("https://klasma.github.io/Logging_1492/artfynd/A 12624-2021 artfynd.xlsx", "A 12624-2021")</f>
        <v/>
      </c>
      <c r="T15">
        <f>HYPERLINK("https://klasma.github.io/Logging_1492/kartor/A 12624-2021 karta.png", "A 12624-2021")</f>
        <v/>
      </c>
      <c r="V15">
        <f>HYPERLINK("https://klasma.github.io/Logging_1492/klagomål/A 12624-2021 FSC-klagomål.docx", "A 12624-2021")</f>
        <v/>
      </c>
      <c r="W15">
        <f>HYPERLINK("https://klasma.github.io/Logging_1492/klagomålsmail/A 12624-2021 FSC-klagomål mail.docx", "A 12624-2021")</f>
        <v/>
      </c>
      <c r="X15">
        <f>HYPERLINK("https://klasma.github.io/Logging_1492/tillsyn/A 12624-2021 tillsynsbegäran.docx", "A 12624-2021")</f>
        <v/>
      </c>
      <c r="Y15">
        <f>HYPERLINK("https://klasma.github.io/Logging_1492/tillsynsmail/A 12624-2021 tillsynsbegäran mail.docx", "A 12624-2021")</f>
        <v/>
      </c>
    </row>
    <row r="16" ht="15" customHeight="1">
      <c r="A16" t="inlineStr">
        <is>
          <t>A 48330-2021</t>
        </is>
      </c>
      <c r="B16" s="1" t="n">
        <v>44450</v>
      </c>
      <c r="C16" s="1" t="n">
        <v>45875</v>
      </c>
      <c r="D16" t="inlineStr">
        <is>
          <t>VÄSTRA GÖTALANDS LÄN</t>
        </is>
      </c>
      <c r="E16" t="inlineStr">
        <is>
          <t>ÅMÅL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HYPERLINK("https://klasma.github.io/Logging_1492/artfynd/A 48330-2021 artfynd.xlsx", "A 48330-2021")</f>
        <v/>
      </c>
      <c r="T16">
        <f>HYPERLINK("https://klasma.github.io/Logging_1492/kartor/A 48330-2021 karta.png", "A 48330-2021")</f>
        <v/>
      </c>
      <c r="V16">
        <f>HYPERLINK("https://klasma.github.io/Logging_1492/klagomål/A 48330-2021 FSC-klagomål.docx", "A 48330-2021")</f>
        <v/>
      </c>
      <c r="W16">
        <f>HYPERLINK("https://klasma.github.io/Logging_1492/klagomålsmail/A 48330-2021 FSC-klagomål mail.docx", "A 48330-2021")</f>
        <v/>
      </c>
      <c r="X16">
        <f>HYPERLINK("https://klasma.github.io/Logging_1492/tillsyn/A 48330-2021 tillsynsbegäran.docx", "A 48330-2021")</f>
        <v/>
      </c>
      <c r="Y16">
        <f>HYPERLINK("https://klasma.github.io/Logging_1492/tillsynsmail/A 48330-2021 tillsynsbegäran mail.docx", "A 48330-2021")</f>
        <v/>
      </c>
    </row>
    <row r="17" ht="15" customHeight="1">
      <c r="A17" t="inlineStr">
        <is>
          <t>A 12413-2023</t>
        </is>
      </c>
      <c r="B17" s="1" t="n">
        <v>44999</v>
      </c>
      <c r="C17" s="1" t="n">
        <v>45875</v>
      </c>
      <c r="D17" t="inlineStr">
        <is>
          <t>VÄSTRA GÖTALANDS LÄN</t>
        </is>
      </c>
      <c r="E17" t="inlineStr">
        <is>
          <t>ÅMÅL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HYPERLINK("https://klasma.github.io/Logging_1492/artfynd/A 12413-2023 artfynd.xlsx", "A 12413-2023")</f>
        <v/>
      </c>
      <c r="T17">
        <f>HYPERLINK("https://klasma.github.io/Logging_1492/kartor/A 12413-2023 karta.png", "A 12413-2023")</f>
        <v/>
      </c>
      <c r="V17">
        <f>HYPERLINK("https://klasma.github.io/Logging_1492/klagomål/A 12413-2023 FSC-klagomål.docx", "A 12413-2023")</f>
        <v/>
      </c>
      <c r="W17">
        <f>HYPERLINK("https://klasma.github.io/Logging_1492/klagomålsmail/A 12413-2023 FSC-klagomål mail.docx", "A 12413-2023")</f>
        <v/>
      </c>
      <c r="X17">
        <f>HYPERLINK("https://klasma.github.io/Logging_1492/tillsyn/A 12413-2023 tillsynsbegäran.docx", "A 12413-2023")</f>
        <v/>
      </c>
      <c r="Y17">
        <f>HYPERLINK("https://klasma.github.io/Logging_1492/tillsynsmail/A 12413-2023 tillsynsbegäran mail.docx", "A 12413-2023")</f>
        <v/>
      </c>
    </row>
    <row r="18" ht="15" customHeight="1">
      <c r="A18" t="inlineStr">
        <is>
          <t>A 38064-2023</t>
        </is>
      </c>
      <c r="B18" s="1" t="n">
        <v>45159</v>
      </c>
      <c r="C18" s="1" t="n">
        <v>45875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HYPERLINK("https://klasma.github.io/Logging_1492/artfynd/A 38064-2023 artfynd.xlsx", "A 38064-2023")</f>
        <v/>
      </c>
      <c r="T18">
        <f>HYPERLINK("https://klasma.github.io/Logging_1492/kartor/A 38064-2023 karta.png", "A 38064-2023")</f>
        <v/>
      </c>
      <c r="V18">
        <f>HYPERLINK("https://klasma.github.io/Logging_1492/klagomål/A 38064-2023 FSC-klagomål.docx", "A 38064-2023")</f>
        <v/>
      </c>
      <c r="W18">
        <f>HYPERLINK("https://klasma.github.io/Logging_1492/klagomålsmail/A 38064-2023 FSC-klagomål mail.docx", "A 38064-2023")</f>
        <v/>
      </c>
      <c r="X18">
        <f>HYPERLINK("https://klasma.github.io/Logging_1492/tillsyn/A 38064-2023 tillsynsbegäran.docx", "A 38064-2023")</f>
        <v/>
      </c>
      <c r="Y18">
        <f>HYPERLINK("https://klasma.github.io/Logging_1492/tillsynsmail/A 38064-2023 tillsynsbegäran mail.docx", "A 38064-2023")</f>
        <v/>
      </c>
    </row>
    <row r="19" ht="15" customHeight="1">
      <c r="A19" t="inlineStr">
        <is>
          <t>A 50546-2024</t>
        </is>
      </c>
      <c r="B19" s="1" t="n">
        <v>45601</v>
      </c>
      <c r="C19" s="1" t="n">
        <v>45875</v>
      </c>
      <c r="D19" t="inlineStr">
        <is>
          <t>VÄSTRA GÖTALANDS LÄN</t>
        </is>
      </c>
      <c r="E19" t="inlineStr">
        <is>
          <t>ÅMÅL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 fjädermossa</t>
        </is>
      </c>
      <c r="S19">
        <f>HYPERLINK("https://klasma.github.io/Logging_1492/artfynd/A 50546-2024 artfynd.xlsx", "A 50546-2024")</f>
        <v/>
      </c>
      <c r="T19">
        <f>HYPERLINK("https://klasma.github.io/Logging_1492/kartor/A 50546-2024 karta.png", "A 50546-2024")</f>
        <v/>
      </c>
      <c r="V19">
        <f>HYPERLINK("https://klasma.github.io/Logging_1492/klagomål/A 50546-2024 FSC-klagomål.docx", "A 50546-2024")</f>
        <v/>
      </c>
      <c r="W19">
        <f>HYPERLINK("https://klasma.github.io/Logging_1492/klagomålsmail/A 50546-2024 FSC-klagomål mail.docx", "A 50546-2024")</f>
        <v/>
      </c>
      <c r="X19">
        <f>HYPERLINK("https://klasma.github.io/Logging_1492/tillsyn/A 50546-2024 tillsynsbegäran.docx", "A 50546-2024")</f>
        <v/>
      </c>
      <c r="Y19">
        <f>HYPERLINK("https://klasma.github.io/Logging_1492/tillsynsmail/A 50546-2024 tillsynsbegäran mail.docx", "A 50546-2024")</f>
        <v/>
      </c>
    </row>
    <row r="20" ht="15" customHeight="1">
      <c r="A20" t="inlineStr">
        <is>
          <t>A 58632-2024</t>
        </is>
      </c>
      <c r="B20" s="1" t="n">
        <v>45635</v>
      </c>
      <c r="C20" s="1" t="n">
        <v>45875</v>
      </c>
      <c r="D20" t="inlineStr">
        <is>
          <t>VÄSTRA GÖTALANDS LÄN</t>
        </is>
      </c>
      <c r="E20" t="inlineStr">
        <is>
          <t>ÅMÅL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HYPERLINK("https://klasma.github.io/Logging_1492/artfynd/A 58632-2024 artfynd.xlsx", "A 58632-2024")</f>
        <v/>
      </c>
      <c r="T20">
        <f>HYPERLINK("https://klasma.github.io/Logging_1492/kartor/A 58632-2024 karta.png", "A 58632-2024")</f>
        <v/>
      </c>
      <c r="V20">
        <f>HYPERLINK("https://klasma.github.io/Logging_1492/klagomål/A 58632-2024 FSC-klagomål.docx", "A 58632-2024")</f>
        <v/>
      </c>
      <c r="W20">
        <f>HYPERLINK("https://klasma.github.io/Logging_1492/klagomålsmail/A 58632-2024 FSC-klagomål mail.docx", "A 58632-2024")</f>
        <v/>
      </c>
      <c r="X20">
        <f>HYPERLINK("https://klasma.github.io/Logging_1492/tillsyn/A 58632-2024 tillsynsbegäran.docx", "A 58632-2024")</f>
        <v/>
      </c>
      <c r="Y20">
        <f>HYPERLINK("https://klasma.github.io/Logging_1492/tillsynsmail/A 58632-2024 tillsynsbegäran mail.docx", "A 58632-2024")</f>
        <v/>
      </c>
    </row>
    <row r="21" ht="15" customHeight="1">
      <c r="A21" t="inlineStr">
        <is>
          <t>A 27406-2025</t>
        </is>
      </c>
      <c r="B21" s="1" t="n">
        <v>45812</v>
      </c>
      <c r="C21" s="1" t="n">
        <v>45875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HYPERLINK("https://klasma.github.io/Logging_141492/artfynd/A 27406-2025 artfynd.xlsx", "A 27406-2025")</f>
        <v/>
      </c>
      <c r="T21">
        <f>HYPERLINK("https://klasma.github.io/Logging_141492/kartor/A 27406-2025 karta.png", "A 27406-2025")</f>
        <v/>
      </c>
      <c r="V21">
        <f>HYPERLINK("https://klasma.github.io/Logging_141492/klagomål/A 27406-2025 FSC-klagomål.docx", "A 27406-2025")</f>
        <v/>
      </c>
      <c r="W21">
        <f>HYPERLINK("https://klasma.github.io/Logging_141492/klagomålsmail/A 27406-2025 FSC-klagomål mail.docx", "A 27406-2025")</f>
        <v/>
      </c>
      <c r="X21">
        <f>HYPERLINK("https://klasma.github.io/Logging_141492/tillsyn/A 27406-2025 tillsynsbegäran.docx", "A 27406-2025")</f>
        <v/>
      </c>
      <c r="Y21">
        <f>HYPERLINK("https://klasma.github.io/Logging_141492/tillsynsmail/A 27406-2025 tillsynsbegäran mail.docx", "A 27406-2025")</f>
        <v/>
      </c>
    </row>
    <row r="22" ht="15" customHeight="1">
      <c r="A22" t="inlineStr">
        <is>
          <t>A 17958-2019</t>
        </is>
      </c>
      <c r="B22" s="1" t="n">
        <v>43556</v>
      </c>
      <c r="C22" s="1" t="n">
        <v>45875</v>
      </c>
      <c r="D22" t="inlineStr">
        <is>
          <t>VÄSTRA GÖTALANDS LÄN</t>
        </is>
      </c>
      <c r="E22" t="inlineStr">
        <is>
          <t>ÅMÅL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18387-2019</t>
        </is>
      </c>
      <c r="B23" s="1" t="n">
        <v>43557</v>
      </c>
      <c r="C23" s="1" t="n">
        <v>45875</v>
      </c>
      <c r="D23" t="inlineStr">
        <is>
          <t>VÄSTRA GÖTALANDS LÄN</t>
        </is>
      </c>
      <c r="E23" t="inlineStr">
        <is>
          <t>ÅMÅL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19031-2019</t>
        </is>
      </c>
      <c r="B24" s="1" t="n">
        <v>43563</v>
      </c>
      <c r="C24" s="1" t="n">
        <v>45875</v>
      </c>
      <c r="D24" t="inlineStr">
        <is>
          <t>VÄSTRA GÖTALANDS LÄN</t>
        </is>
      </c>
      <c r="E24" t="inlineStr">
        <is>
          <t>ÅMÅL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21194-2019</t>
        </is>
      </c>
      <c r="B25" s="1" t="n">
        <v>43579</v>
      </c>
      <c r="C25" s="1" t="n">
        <v>45875</v>
      </c>
      <c r="D25" t="inlineStr">
        <is>
          <t>VÄSTRA GÖTALANDS LÄN</t>
        </is>
      </c>
      <c r="E25" t="inlineStr">
        <is>
          <t>ÅMÅL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21910-2019</t>
        </is>
      </c>
      <c r="B26" s="1" t="n">
        <v>43584</v>
      </c>
      <c r="C26" s="1" t="n">
        <v>45875</v>
      </c>
      <c r="D26" t="inlineStr">
        <is>
          <t>VÄSTRA GÖTALANDS LÄN</t>
        </is>
      </c>
      <c r="E26" t="inlineStr">
        <is>
          <t>ÅMÅL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24464-2019</t>
        </is>
      </c>
      <c r="B27" s="1" t="n">
        <v>43600</v>
      </c>
      <c r="C27" s="1" t="n">
        <v>45875</v>
      </c>
      <c r="D27" t="inlineStr">
        <is>
          <t>VÄSTRA GÖTALANDS LÄN</t>
        </is>
      </c>
      <c r="E27" t="inlineStr">
        <is>
          <t>ÅMÅL</t>
        </is>
      </c>
      <c r="G27" t="n">
        <v>18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27291-2019</t>
        </is>
      </c>
      <c r="B28" s="1" t="n">
        <v>43616</v>
      </c>
      <c r="C28" s="1" t="n">
        <v>45875</v>
      </c>
      <c r="D28" t="inlineStr">
        <is>
          <t>VÄSTRA GÖTALANDS LÄN</t>
        </is>
      </c>
      <c r="E28" t="inlineStr">
        <is>
          <t>ÅMÅL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28187-2019</t>
        </is>
      </c>
      <c r="B29" s="1" t="n">
        <v>43621</v>
      </c>
      <c r="C29" s="1" t="n">
        <v>45875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30406-2019</t>
        </is>
      </c>
      <c r="B30" s="1" t="n">
        <v>43633</v>
      </c>
      <c r="C30" s="1" t="n">
        <v>45875</v>
      </c>
      <c r="D30" t="inlineStr">
        <is>
          <t>VÄSTRA GÖTALANDS LÄN</t>
        </is>
      </c>
      <c r="E30" t="inlineStr">
        <is>
          <t>ÅMÅL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45875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45875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45875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45875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45875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45875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45875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45875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45875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45875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45875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45875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45875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45875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45875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45875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45875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45875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45875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45875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45875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45875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45875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45875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45875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45875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45875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45875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45875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45875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45875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45875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45875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45875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45875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45875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45875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45875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45875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45875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45875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45875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45875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45875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45875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45875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45875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45875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45875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45875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45875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45875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45875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45875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45875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45875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45875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45875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45875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45875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45875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45875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45875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45875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45875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45875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45875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45875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45875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45875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45875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45875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45875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45875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45875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45875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45875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45875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45875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45875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45875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45875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45875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45875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45875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45875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45875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45875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45875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45875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45875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45875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45875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45875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45875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45875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45875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45875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45875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45875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45875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45875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45875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45875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45875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45875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45875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45875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45875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45875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45875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45875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45875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45875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45875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45875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45875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45875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45875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45875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45875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45875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45875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45875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45875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45875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45875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45875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45875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45875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45875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45875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45875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45875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45875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45875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45875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45875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45875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45875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45875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45875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45875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45875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45875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45875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45875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45875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45875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45875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45875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45875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45875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45875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45875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45875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45875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45875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45875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45875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45875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45875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45875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45875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45875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45875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45875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45875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45875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45875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45875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45875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45875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45875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45875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45875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45875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45875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45875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45875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45875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45875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45875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45875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45875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45875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45875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45875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45875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45875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45875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45875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45875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45875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45875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45875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45875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45875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45875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45875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45875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45875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45875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45875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45875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45875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45875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45875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45875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45875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45875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45875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45875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45875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45875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45875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45875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45875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45875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45875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45875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45875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45875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45875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45875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45875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45875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45875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45875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45875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45875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45875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45875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45875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45875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45875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45875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45875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45875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45875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45875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45875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45875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45875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45875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45875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45875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45875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45875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45875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45875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45875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45875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45875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45875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45875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45875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45875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45875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45875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45875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45875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45875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45875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45875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45875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45875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45875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45875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45875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45875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45875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45875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45875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45875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45875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45875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45875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45875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45875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45875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45875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45875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45875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45875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45875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45875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45875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45875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45875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45875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45875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45875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45875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45875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45875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45875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45875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45875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45875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45875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45875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45875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45875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45875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45875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45875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45875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45875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45875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45875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45875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45875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45875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45875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45875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45875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45875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45875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45875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45875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45875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45875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45875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45875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45875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45875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45875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45875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45875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45875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45875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45875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45875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45875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45875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45875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45875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45875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45875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45875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45875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45875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45875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45875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45875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45875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45875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45875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45875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45875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45875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45875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45875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45875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45875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45875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45875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45875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45875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45875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45875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45875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45875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45875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45875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45875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45875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45875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45875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45875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45875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45875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45875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45875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45875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45875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45875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45875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45875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45875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45875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45875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45875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45875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45875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45875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45875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45875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45875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45875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45875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45875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45875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45875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45875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45875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45875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45875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45875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45875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45875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45875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45875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45875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45875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45875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45875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45875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45875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45875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45875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45875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45875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45875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45875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45875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45875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45875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45875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45875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45875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45875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45875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45875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45875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45875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45875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45875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45875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45875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45875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45875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45875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45875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45875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45875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45875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45875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45875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45875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45875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45875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45875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45875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45875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45875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45875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45875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45875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45875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45875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45875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45875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45875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45875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45875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45875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45875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45875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45875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45875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45875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45875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45875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45875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45875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45875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45875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45875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45875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45875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45875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45875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45875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45875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45875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45875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45875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45875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45875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45875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45875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45875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45875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45875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45875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45875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45875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45875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45875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45875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45875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45875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45875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45875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45875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45875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45875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29979-2025</t>
        </is>
      </c>
      <c r="B530" s="1" t="n">
        <v>45826</v>
      </c>
      <c r="C530" s="1" t="n">
        <v>45875</v>
      </c>
      <c r="D530" t="inlineStr">
        <is>
          <t>VÄSTRA GÖTALANDS LÄN</t>
        </is>
      </c>
      <c r="E530" t="inlineStr">
        <is>
          <t>ÅMÅL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29987-2025</t>
        </is>
      </c>
      <c r="B531" s="1" t="n">
        <v>45826</v>
      </c>
      <c r="C531" s="1" t="n">
        <v>45875</v>
      </c>
      <c r="D531" t="inlineStr">
        <is>
          <t>VÄSTRA GÖTALANDS LÄN</t>
        </is>
      </c>
      <c r="E531" t="inlineStr">
        <is>
          <t>ÅMÅL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32918-2025</t>
        </is>
      </c>
      <c r="B532" s="1" t="n">
        <v>45839</v>
      </c>
      <c r="C532" s="1" t="n">
        <v>45875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34218-2025</t>
        </is>
      </c>
      <c r="B533" s="1" t="n">
        <v>45845</v>
      </c>
      <c r="C533" s="1" t="n">
        <v>45875</v>
      </c>
      <c r="D533" t="inlineStr">
        <is>
          <t>VÄSTRA GÖTALANDS LÄN</t>
        </is>
      </c>
      <c r="E533" t="inlineStr">
        <is>
          <t>ÅMÅL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34211-2025</t>
        </is>
      </c>
      <c r="B534" s="1" t="n">
        <v>45845</v>
      </c>
      <c r="C534" s="1" t="n">
        <v>45875</v>
      </c>
      <c r="D534" t="inlineStr">
        <is>
          <t>VÄSTRA GÖTALANDS LÄN</t>
        </is>
      </c>
      <c r="E534" t="inlineStr">
        <is>
          <t>ÅMÅL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36671-2025</t>
        </is>
      </c>
      <c r="B535" s="1" t="n">
        <v>45873</v>
      </c>
      <c r="C535" s="1" t="n">
        <v>45875</v>
      </c>
      <c r="D535" t="inlineStr">
        <is>
          <t>VÄSTRA GÖTALANDS LÄN</t>
        </is>
      </c>
      <c r="E535" t="inlineStr">
        <is>
          <t>ÅMÅL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2025-08-06T20:02:17Z</dcterms:created>
  <dcterms:modified xmlns:dcterms="http://purl.org/dc/terms/" xmlns:xsi="http://www.w3.org/2001/XMLSchema-instance" xsi:type="dcterms:W3CDTF">2025-08-06T20:02:17Z</dcterms:modified>
</cp:coreProperties>
</file>